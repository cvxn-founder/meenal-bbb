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ivotTables/pivotTable1.xml" ContentType="application/vnd.openxmlformats-officedocument.spreadsheetml.pivotTable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ftlandconsultspvtltd-my.sharepoint.com/personal/meenalbhat_kraftlandconsults_com/Documents/Work/All Data/Kraftland/Tools/BBB/"/>
    </mc:Choice>
  </mc:AlternateContent>
  <xr:revisionPtr revIDLastSave="0" documentId="8_{EE0134DF-0C86-4F62-912E-0E704CBC4236}" xr6:coauthVersionLast="47" xr6:coauthVersionMax="47" xr10:uidLastSave="{00000000-0000-0000-0000-000000000000}"/>
  <bookViews>
    <workbookView xWindow="-98" yWindow="-98" windowWidth="21795" windowHeight="12975" tabRatio="966" xr2:uid="{3FBAF9D5-6BCC-B843-AC0C-90C1A7C25BA5}"/>
  </bookViews>
  <sheets>
    <sheet name="Product Orientation" sheetId="12" r:id="rId1"/>
    <sheet name="Environment Understanding" sheetId="1" r:id="rId2"/>
    <sheet name="Market Definition" sheetId="2" r:id="rId3"/>
    <sheet name="Patient Funnel" sheetId="3" r:id="rId4"/>
    <sheet name="Patient Journey Mapping" sheetId="4" r:id="rId5"/>
    <sheet name="Leverage Point" sheetId="5" r:id="rId6"/>
    <sheet name="KSH" sheetId="6" r:id="rId7"/>
    <sheet name="Contested Cat." sheetId="9" r:id="rId8"/>
    <sheet name="Brand Wheel" sheetId="17" r:id="rId9"/>
    <sheet name="Segmentation" sheetId="7" r:id="rId10"/>
    <sheet name="SWOT" sheetId="13" r:id="rId11"/>
    <sheet name="Top Brand" sheetId="15" r:id="rId12"/>
    <sheet name="AWACS input" sheetId="14" r:id="rId13"/>
    <sheet name="Tools" sheetId="8" r:id="rId14"/>
    <sheet name="Sheet1" sheetId="18" r:id="rId15"/>
  </sheets>
  <definedNames>
    <definedName name="_xlnm._FilterDatabase" localSheetId="12" hidden="1">'AWACS input'!$B$8:$CK$8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Y2" i="5"/>
  <c r="Y3" i="5"/>
  <c r="Y4" i="5"/>
  <c r="B5" i="2"/>
  <c r="B3" i="2"/>
  <c r="Y6" i="5"/>
  <c r="Y5" i="5" s="1"/>
  <c r="C20" i="12"/>
  <c r="M19" i="13"/>
  <c r="E11" i="7"/>
  <c r="E10" i="7"/>
  <c r="E9" i="7"/>
  <c r="E8" i="7"/>
  <c r="C3" i="7"/>
  <c r="C4" i="7"/>
  <c r="C2" i="7"/>
  <c r="K4" i="7"/>
  <c r="N5" i="7"/>
  <c r="M5" i="7"/>
  <c r="L5" i="7"/>
  <c r="K5" i="7"/>
  <c r="J5" i="7"/>
  <c r="N4" i="7"/>
  <c r="M4" i="7"/>
  <c r="L4" i="7"/>
  <c r="J4" i="7"/>
  <c r="N3" i="7"/>
  <c r="M3" i="7"/>
  <c r="L3" i="7"/>
  <c r="K3" i="7"/>
  <c r="J3" i="7"/>
  <c r="N2" i="7"/>
  <c r="M2" i="7"/>
  <c r="L2" i="7"/>
  <c r="K2" i="7"/>
  <c r="J2" i="7"/>
  <c r="AP4" i="17"/>
  <c r="AP5" i="17"/>
  <c r="AF11" i="1"/>
  <c r="AF10" i="1"/>
  <c r="AE10" i="1" a="1"/>
  <c r="AE10" i="1" s="1"/>
  <c r="AB11" i="1" a="1"/>
  <c r="AB11" i="1" s="1"/>
  <c r="AB10" i="1"/>
  <c r="D3" i="14"/>
  <c r="AA10" i="1" s="1" a="1"/>
  <c r="AA10" i="1" s="1"/>
  <c r="AB5" i="1" a="1"/>
  <c r="AB5" i="1" s="1"/>
  <c r="AF5" i="1" s="1"/>
  <c r="AC5" i="1"/>
  <c r="AF3" i="1"/>
  <c r="AA3" i="1"/>
  <c r="AE3" i="1" s="1"/>
  <c r="E2" i="1"/>
  <c r="AB2" i="1" s="1" a="1"/>
  <c r="AB2" i="1" s="1"/>
  <c r="AF2" i="1" s="1" a="1"/>
  <c r="AF2" i="1" s="1"/>
  <c r="AE5" i="1"/>
  <c r="AE2" i="1"/>
  <c r="AA5" i="1"/>
  <c r="J60" i="1"/>
  <c r="C5" i="1"/>
  <c r="AC4" i="1"/>
  <c r="AG4" i="1" s="1" a="1"/>
  <c r="AG4" i="1" s="1"/>
  <c r="AB4" i="1"/>
  <c r="AF4" i="1" s="1" a="1"/>
  <c r="AF4" i="1" s="1"/>
  <c r="AA4" i="1"/>
  <c r="AE4" i="1" s="1" a="1"/>
  <c r="AE4" i="1" s="1"/>
  <c r="AC2" i="1"/>
  <c r="AG2" i="1" s="1" a="1"/>
  <c r="AG2" i="1" s="1"/>
  <c r="AB3" i="1"/>
  <c r="H60" i="1"/>
  <c r="F59" i="1"/>
  <c r="AA2" i="1"/>
  <c r="D59" i="1"/>
  <c r="C59" i="1"/>
  <c r="G59" i="1"/>
  <c r="Q46" i="17"/>
  <c r="Q45" i="17"/>
  <c r="Q42" i="17"/>
  <c r="Q41" i="17"/>
  <c r="Q25" i="17"/>
  <c r="Q24" i="17"/>
  <c r="Q21" i="17"/>
  <c r="Q20" i="17"/>
  <c r="C40" i="17"/>
  <c r="C31" i="17"/>
  <c r="C32" i="17"/>
  <c r="C30" i="17"/>
  <c r="C26" i="17"/>
  <c r="C27" i="17"/>
  <c r="C25" i="17"/>
  <c r="C21" i="17"/>
  <c r="C22" i="17"/>
  <c r="C20" i="17"/>
  <c r="AP3" i="17"/>
  <c r="J18" i="1" a="1"/>
  <c r="J18" i="1" s="1"/>
  <c r="J9" i="1" a="1"/>
  <c r="J9" i="1" s="1"/>
  <c r="C13" i="1"/>
  <c r="P9" i="9"/>
  <c r="G44" i="15"/>
  <c r="H44" i="15"/>
  <c r="I46" i="15"/>
  <c r="I47" i="15"/>
  <c r="F46" i="15"/>
  <c r="F47" i="15"/>
  <c r="F45" i="15"/>
  <c r="D6" i="14" a="1"/>
  <c r="D6" i="14" s="1"/>
  <c r="G12" i="1"/>
  <c r="B7" i="2"/>
  <c r="I103" i="12"/>
  <c r="E103" i="12"/>
  <c r="E102" i="12" s="1"/>
  <c r="E101" i="12" s="1"/>
  <c r="E107" i="12"/>
  <c r="E106" i="12"/>
  <c r="F101" i="12" s="1"/>
  <c r="C103" i="12"/>
  <c r="C102" i="12"/>
  <c r="B4" i="2"/>
  <c r="P10" i="9"/>
  <c r="D4" i="14"/>
  <c r="P11" i="9"/>
  <c r="E2" i="14"/>
  <c r="D5" i="14" a="1"/>
  <c r="D5" i="14" s="1"/>
  <c r="D2" i="14"/>
  <c r="H1" i="14"/>
  <c r="I1" i="14"/>
  <c r="J1" i="14"/>
  <c r="K1" i="14"/>
  <c r="G1" i="14"/>
  <c r="B3" i="14"/>
  <c r="H3" i="14" s="1"/>
  <c r="B2" i="14"/>
  <c r="H46" i="15"/>
  <c r="H47" i="15"/>
  <c r="H45" i="15"/>
  <c r="G46" i="15"/>
  <c r="G47" i="15"/>
  <c r="G45" i="15"/>
  <c r="Y7" i="5" l="1"/>
  <c r="Y8" i="5"/>
  <c r="AI3" i="1"/>
  <c r="J5" i="1" s="1" a="1"/>
  <c r="J5" i="1" s="1"/>
  <c r="F103" i="12"/>
  <c r="I45" i="15"/>
  <c r="F102" i="12"/>
  <c r="H10" i="12" s="1"/>
  <c r="K3" i="14"/>
  <c r="G3" i="14"/>
  <c r="J3" i="14"/>
  <c r="I3" i="14"/>
  <c r="O17" i="15"/>
  <c r="E3" i="1" l="1"/>
  <c r="C3" i="1"/>
  <c r="C2" i="1"/>
  <c r="E58" i="1"/>
  <c r="G2" i="1" s="1"/>
  <c r="B25" i="15" a="1"/>
  <c r="A26" i="15" a="1"/>
  <c r="A26" i="15" s="1"/>
  <c r="A8" i="15" a="1"/>
  <c r="A8" i="15" s="1"/>
  <c r="B7" i="15" a="1"/>
  <c r="B7" i="15" l="1"/>
  <c r="H19" i="15"/>
  <c r="R17" i="15" s="1"/>
  <c r="I19" i="15"/>
  <c r="S17" i="15" s="1"/>
  <c r="J19" i="15"/>
  <c r="F19" i="15"/>
  <c r="P17" i="15" s="1"/>
  <c r="G19" i="15"/>
  <c r="Q17" i="15" s="1"/>
  <c r="B25" i="15"/>
  <c r="F37" i="15"/>
  <c r="I37" i="15"/>
  <c r="K27" i="15" s="1"/>
  <c r="H37" i="15"/>
  <c r="G37" i="15"/>
  <c r="E37" i="15"/>
  <c r="C7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379" i="14"/>
  <c r="A380" i="14"/>
  <c r="A381" i="14"/>
  <c r="A382" i="14"/>
  <c r="A383" i="14"/>
  <c r="A384" i="14"/>
  <c r="A385" i="14"/>
  <c r="A386" i="14"/>
  <c r="A387" i="14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427" i="14"/>
  <c r="A428" i="14"/>
  <c r="A429" i="14"/>
  <c r="A430" i="14"/>
  <c r="A431" i="14"/>
  <c r="A432" i="14"/>
  <c r="A433" i="14"/>
  <c r="A434" i="14"/>
  <c r="A435" i="14"/>
  <c r="A436" i="14"/>
  <c r="A437" i="14"/>
  <c r="A438" i="14"/>
  <c r="A439" i="14"/>
  <c r="A440" i="14"/>
  <c r="A441" i="14"/>
  <c r="A442" i="14"/>
  <c r="A443" i="14"/>
  <c r="A444" i="14"/>
  <c r="A445" i="14"/>
  <c r="A446" i="14"/>
  <c r="A447" i="14"/>
  <c r="A448" i="14"/>
  <c r="A449" i="14"/>
  <c r="A450" i="14"/>
  <c r="A451" i="14"/>
  <c r="A452" i="14"/>
  <c r="A453" i="14"/>
  <c r="A454" i="14"/>
  <c r="A455" i="14"/>
  <c r="A456" i="14"/>
  <c r="A457" i="14"/>
  <c r="A458" i="14"/>
  <c r="A459" i="14"/>
  <c r="A460" i="14"/>
  <c r="A461" i="14"/>
  <c r="A462" i="14"/>
  <c r="A463" i="14"/>
  <c r="A464" i="14"/>
  <c r="A465" i="14"/>
  <c r="A466" i="14"/>
  <c r="A467" i="14"/>
  <c r="A468" i="14"/>
  <c r="A469" i="14"/>
  <c r="A470" i="14"/>
  <c r="A471" i="14"/>
  <c r="A472" i="14"/>
  <c r="A473" i="14"/>
  <c r="A474" i="14"/>
  <c r="A475" i="14"/>
  <c r="A476" i="14"/>
  <c r="A477" i="14"/>
  <c r="A478" i="14"/>
  <c r="A479" i="14"/>
  <c r="A480" i="14"/>
  <c r="A481" i="14"/>
  <c r="A482" i="14"/>
  <c r="A483" i="14"/>
  <c r="A484" i="14"/>
  <c r="A485" i="14"/>
  <c r="A486" i="14"/>
  <c r="A487" i="14"/>
  <c r="A488" i="14"/>
  <c r="A489" i="14"/>
  <c r="A490" i="14"/>
  <c r="A491" i="14"/>
  <c r="A492" i="14"/>
  <c r="A493" i="14"/>
  <c r="A494" i="14"/>
  <c r="A495" i="14"/>
  <c r="A496" i="14"/>
  <c r="A497" i="14"/>
  <c r="A498" i="14"/>
  <c r="A499" i="14"/>
  <c r="A500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9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BS7" i="14"/>
  <c r="BT7" i="14"/>
  <c r="BU7" i="14"/>
  <c r="BV7" i="14"/>
  <c r="BW7" i="14"/>
  <c r="BX7" i="14"/>
  <c r="BY7" i="14"/>
  <c r="BZ7" i="14"/>
  <c r="CA7" i="14"/>
  <c r="CB7" i="14"/>
  <c r="CC7" i="14"/>
  <c r="CD7" i="14"/>
  <c r="CE7" i="14"/>
  <c r="CF7" i="14"/>
  <c r="CG7" i="14"/>
  <c r="CH7" i="14"/>
  <c r="CI7" i="14"/>
  <c r="CJ7" i="14"/>
  <c r="CK7" i="14"/>
  <c r="G7" i="14"/>
  <c r="J47" i="15" l="1"/>
  <c r="L47" i="15" s="1"/>
  <c r="J46" i="15"/>
  <c r="L46" i="15" s="1"/>
  <c r="J45" i="15"/>
  <c r="S34" i="15"/>
  <c r="Q34" i="15"/>
  <c r="K33" i="15"/>
  <c r="K32" i="15"/>
  <c r="T17" i="15"/>
  <c r="T34" i="15" s="1"/>
  <c r="C10" i="1" s="1"/>
  <c r="R34" i="15"/>
  <c r="K31" i="15"/>
  <c r="K34" i="15"/>
  <c r="K35" i="15"/>
  <c r="K30" i="15"/>
  <c r="K29" i="15"/>
  <c r="K26" i="15"/>
  <c r="K28" i="15"/>
  <c r="K11" i="15"/>
  <c r="K12" i="15"/>
  <c r="K13" i="15"/>
  <c r="K14" i="15"/>
  <c r="K15" i="15"/>
  <c r="K17" i="15"/>
  <c r="K8" i="15"/>
  <c r="K16" i="15"/>
  <c r="K9" i="15"/>
  <c r="K10" i="15"/>
  <c r="J49" i="15" l="1"/>
  <c r="L45" i="15"/>
  <c r="C11" i="1" s="1"/>
  <c r="B6" i="15"/>
  <c r="I49" i="15" l="1" a="1"/>
  <c r="I49" i="15" s="1"/>
  <c r="D13" i="1" s="1"/>
  <c r="AA11" i="1" s="1" a="1"/>
  <c r="AA11" i="1" s="1"/>
  <c r="AE11" i="1" s="1"/>
  <c r="AH10" i="1" s="1"/>
  <c r="J13" i="1" s="1" a="1"/>
  <c r="J13" i="1" s="1"/>
  <c r="F6" i="15"/>
  <c r="P16" i="15" s="1"/>
  <c r="B24" i="15"/>
  <c r="I6" i="15"/>
  <c r="S16" i="15" s="1"/>
  <c r="H6" i="15"/>
  <c r="R16" i="15" s="1"/>
  <c r="J6" i="15"/>
  <c r="G6" i="15"/>
  <c r="Q16" i="15" s="1"/>
  <c r="C6" i="15"/>
  <c r="E6" i="15"/>
  <c r="D6" i="15"/>
  <c r="Q33" i="15" l="1"/>
  <c r="S33" i="15"/>
  <c r="K6" i="15"/>
  <c r="T16" i="15"/>
  <c r="T33" i="15" s="1"/>
  <c r="P41" i="9" s="1"/>
  <c r="R33" i="15"/>
  <c r="Q8" i="15"/>
  <c r="Q10" i="15"/>
  <c r="Q12" i="15"/>
  <c r="P8" i="15"/>
  <c r="S7" i="15"/>
  <c r="S24" i="15" s="1"/>
  <c r="S11" i="15"/>
  <c r="T9" i="15"/>
  <c r="P12" i="15"/>
  <c r="R8" i="15"/>
  <c r="R25" i="15" s="1"/>
  <c r="R10" i="15"/>
  <c r="R12" i="15"/>
  <c r="O9" i="15"/>
  <c r="O26" i="15" s="1"/>
  <c r="T7" i="15"/>
  <c r="T24" i="15" s="1"/>
  <c r="Q9" i="15"/>
  <c r="Q11" i="15"/>
  <c r="P9" i="15"/>
  <c r="O12" i="15"/>
  <c r="O29" i="15" s="1"/>
  <c r="P11" i="15"/>
  <c r="Q7" i="15"/>
  <c r="Q24" i="15" s="1"/>
  <c r="T11" i="15"/>
  <c r="S8" i="15"/>
  <c r="S10" i="15"/>
  <c r="S12" i="15"/>
  <c r="O10" i="15"/>
  <c r="O27" i="15" s="1"/>
  <c r="T8" i="15"/>
  <c r="T10" i="15"/>
  <c r="T12" i="15"/>
  <c r="O11" i="15"/>
  <c r="O28" i="15" s="1"/>
  <c r="R9" i="15"/>
  <c r="R11" i="15"/>
  <c r="P10" i="15"/>
  <c r="O8" i="15"/>
  <c r="O25" i="15" s="1"/>
  <c r="S9" i="15"/>
  <c r="R7" i="15"/>
  <c r="R24" i="15" s="1"/>
  <c r="D65" i="14"/>
  <c r="C65" i="14"/>
  <c r="D58" i="14"/>
  <c r="D59" i="14" s="1"/>
  <c r="C58" i="14"/>
  <c r="C59" i="14" s="1"/>
  <c r="D52" i="14"/>
  <c r="C52" i="14"/>
  <c r="D49" i="14"/>
  <c r="C49" i="14"/>
  <c r="D43" i="14"/>
  <c r="C43" i="14"/>
  <c r="D40" i="14"/>
  <c r="C40" i="14"/>
  <c r="D35" i="14"/>
  <c r="D36" i="14" s="1"/>
  <c r="C35" i="14"/>
  <c r="C36" i="14" s="1"/>
  <c r="D32" i="14"/>
  <c r="C32" i="14"/>
  <c r="D28" i="14"/>
  <c r="C28" i="14"/>
  <c r="D22" i="14"/>
  <c r="D23" i="14" s="1"/>
  <c r="D24" i="14" s="1"/>
  <c r="D25" i="14" s="1"/>
  <c r="D26" i="14" s="1"/>
  <c r="C22" i="14"/>
  <c r="C23" i="14" s="1"/>
  <c r="C24" i="14" s="1"/>
  <c r="C25" i="14" s="1"/>
  <c r="C26" i="14" s="1"/>
  <c r="S27" i="15" l="1"/>
  <c r="Q25" i="15"/>
  <c r="S29" i="15"/>
  <c r="Q28" i="15"/>
  <c r="T26" i="15"/>
  <c r="S25" i="15"/>
  <c r="W41" i="9"/>
  <c r="M11" i="13"/>
  <c r="R26" i="15"/>
  <c r="R27" i="15"/>
  <c r="R28" i="15"/>
  <c r="T29" i="15"/>
  <c r="Q26" i="15"/>
  <c r="T28" i="15"/>
  <c r="Q29" i="15"/>
  <c r="R29" i="15"/>
  <c r="S28" i="15"/>
  <c r="T27" i="15"/>
  <c r="S26" i="15"/>
  <c r="T25" i="15"/>
  <c r="P37" i="9" s="1"/>
  <c r="Q27" i="15"/>
  <c r="D3" i="3"/>
  <c r="D4" i="3" s="1"/>
  <c r="D5" i="3" s="1"/>
  <c r="C5" i="3" s="1"/>
  <c r="AA3" i="6"/>
  <c r="AA4" i="6"/>
  <c r="AA5" i="6"/>
  <c r="AA6" i="6"/>
  <c r="AA2" i="6"/>
  <c r="C7" i="6"/>
  <c r="P38" i="9" l="1"/>
  <c r="W38" i="9" s="1"/>
  <c r="P39" i="9"/>
  <c r="W39" i="9" s="1"/>
  <c r="W37" i="9"/>
  <c r="C3" i="3"/>
  <c r="C4" i="3"/>
  <c r="B8" i="2" l="1"/>
  <c r="G10" i="1"/>
  <c r="P7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269E26-8A2C-9240-8C90-D31DEA91C484}" keepAlive="1" name="Query - Excel workbook" description="Connection to the 'Excel workbook' query in the workbook." type="5" refreshedVersion="0" background="1">
    <dbPr connection="Provider=Microsoft.Mashup.OleDb.1;Data Source=$Workbook$;Location=&quot;Excel workbook&quot;;Extended Properties=&quot;&quot;" command="SELECT * FROM [Excel workbook]"/>
  </connection>
  <connection id="2" xr16:uid="{EBBA9FAA-602E-1048-BE51-CA198A1D5E68}" keepAlive="1" name="Query - Excel workbook (2)" description="Connection to the 'Excel workbook (2)' query in the workbook." type="5" refreshedVersion="8" background="1" saveData="1">
    <dbPr connection="Provider=Microsoft.Mashup.OleDb.1;Data Source=$Workbook$;Location=&quot;Excel workbook (2)&quot;;Extended Properties=&quot;&quot;" command="SELECT * FROM [Excel workbook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<sst xmlns="http://schemas.openxmlformats.org/spreadsheetml/2006/main" count="687" uniqueCount="520">
  <si>
    <r>
      <t xml:space="preserve">Population of </t>
    </r>
    <r>
      <rPr>
        <b/>
        <u/>
        <sz val="12"/>
        <color theme="1"/>
        <rFont val="Calibri (Body)"/>
      </rPr>
      <t>India</t>
    </r>
  </si>
  <si>
    <t>Macro</t>
  </si>
  <si>
    <t>Urban</t>
  </si>
  <si>
    <t>Rural</t>
  </si>
  <si>
    <t>GDP (GR%)</t>
  </si>
  <si>
    <t>IP (Patent)</t>
  </si>
  <si>
    <t>Private Insurance</t>
  </si>
  <si>
    <t>Indian Pharma Market</t>
  </si>
  <si>
    <r>
      <t xml:space="preserve">Is the </t>
    </r>
    <r>
      <rPr>
        <b/>
        <u/>
        <sz val="12"/>
        <color theme="1"/>
        <rFont val="Calibri (Body)"/>
      </rPr>
      <t>country</t>
    </r>
    <r>
      <rPr>
        <sz val="12"/>
        <color theme="1"/>
        <rFont val="Calibri"/>
        <family val="2"/>
        <scheme val="minor"/>
      </rPr>
      <t xml:space="preserve"> attractive to do business in?</t>
    </r>
  </si>
  <si>
    <r>
      <t xml:space="preserve">Is the </t>
    </r>
    <r>
      <rPr>
        <b/>
        <u/>
        <sz val="12"/>
        <color theme="1"/>
        <rFont val="Calibri (Body)"/>
      </rPr>
      <t>industry</t>
    </r>
    <r>
      <rPr>
        <sz val="12"/>
        <color theme="1"/>
        <rFont val="Calibri"/>
        <family val="2"/>
        <scheme val="minor"/>
      </rPr>
      <t xml:space="preserve"> attractive to do business in?</t>
    </r>
  </si>
  <si>
    <t>Represented Market</t>
  </si>
  <si>
    <t>Market Size &amp; Growth</t>
  </si>
  <si>
    <r>
      <t xml:space="preserve">Is the </t>
    </r>
    <r>
      <rPr>
        <b/>
        <u/>
        <sz val="12"/>
        <color theme="1"/>
        <rFont val="Calibri (Body)"/>
      </rPr>
      <t>represented market</t>
    </r>
    <r>
      <rPr>
        <sz val="12"/>
        <color theme="1"/>
        <rFont val="Calibri"/>
        <family val="2"/>
        <scheme val="minor"/>
      </rPr>
      <t xml:space="preserve"> attractive to do business in?</t>
    </r>
  </si>
  <si>
    <t>Market Definition</t>
  </si>
  <si>
    <t>Market Size</t>
  </si>
  <si>
    <t>Molecule, Drug Class</t>
  </si>
  <si>
    <t>Physician Universe</t>
  </si>
  <si>
    <t>Patient Universe</t>
  </si>
  <si>
    <t>Key Players [Brands, Company, Market Share]</t>
  </si>
  <si>
    <t>Market definition can also be described as category definition e.g. Type 2 Diabetes oral market/Acid peptic disorder, choice is to be made by what you feel that product, molecule from the same or different class compete with one another</t>
  </si>
  <si>
    <t>What is the size (AWACS) Growth MAT XXX</t>
  </si>
  <si>
    <t>What is the actual universe of patients living with disease mentioned</t>
  </si>
  <si>
    <t>Filter Level</t>
  </si>
  <si>
    <t>Description</t>
  </si>
  <si>
    <t>No. of patients living with the disease</t>
  </si>
  <si>
    <t>No. of patients diagnosed with the disease</t>
  </si>
  <si>
    <t>No. of Patients treated</t>
  </si>
  <si>
    <t>Target Patients</t>
  </si>
  <si>
    <t>Treatment &amp; Class Choices</t>
  </si>
  <si>
    <t>Brand Choice</t>
  </si>
  <si>
    <t>Disease burden &amp; no. of patients living with defined disease
No. or % of patients appear to HCPs with compelling symptoms or reasons</t>
  </si>
  <si>
    <t>No. of patients diagnosed by HCPs deploying certain type of tests</t>
  </si>
  <si>
    <t xml:space="preserve">No. or % of patients are given specific treatment
No. or % of patients are given specific treatment
Treatment choices made as 1st line 2nd line
</t>
  </si>
  <si>
    <t xml:space="preserve">No. or % of patients receiving choice brand vs. other brands
</t>
  </si>
  <si>
    <t>No. or % of pharmacies honoring and patient buying
No. or % of patients adhering to choice brand</t>
  </si>
  <si>
    <t>Patient Journey Map</t>
  </si>
  <si>
    <t xml:space="preserve">Diagnosis    </t>
  </si>
  <si>
    <t xml:space="preserve">Origination   </t>
  </si>
  <si>
    <t xml:space="preserve">Access            </t>
  </si>
  <si>
    <t>Origination</t>
  </si>
  <si>
    <t>Diagnosis</t>
  </si>
  <si>
    <t>Treatment Choice</t>
  </si>
  <si>
    <t>Class Choice</t>
  </si>
  <si>
    <t>Fulfilment</t>
  </si>
  <si>
    <t>Adherence</t>
  </si>
  <si>
    <t>Market Expansion</t>
  </si>
  <si>
    <t>Share Penetration</t>
  </si>
  <si>
    <t>Share Expansion</t>
  </si>
  <si>
    <t>Leakage %</t>
  </si>
  <si>
    <t>Drivers &amp; Barriers</t>
  </si>
  <si>
    <t>Patients</t>
  </si>
  <si>
    <t>Professionals</t>
  </si>
  <si>
    <t>Providers/Hospitals</t>
  </si>
  <si>
    <t>Payer/Self-Pay Families</t>
  </si>
  <si>
    <t>Policy Makers</t>
  </si>
  <si>
    <t>% Influence</t>
  </si>
  <si>
    <t>Type</t>
  </si>
  <si>
    <t>Infertile Women</t>
  </si>
  <si>
    <t>Gynecologists</t>
  </si>
  <si>
    <t>Pharmacies</t>
  </si>
  <si>
    <t>Insurance</t>
  </si>
  <si>
    <t>Government</t>
  </si>
  <si>
    <t>#1</t>
  </si>
  <si>
    <t>#2</t>
  </si>
  <si>
    <t>#3</t>
  </si>
  <si>
    <t>#4</t>
  </si>
  <si>
    <t>#5</t>
  </si>
  <si>
    <t>Can we distinctively identify the biggest bottle necks?</t>
  </si>
  <si>
    <t>What is the current behaviour? Can we change this behaviour?</t>
  </si>
  <si>
    <t>Would that desired behaviour drive significant volume for class/franchise?</t>
  </si>
  <si>
    <t>Would it disproportionately drive prescription for our product vs competition?</t>
  </si>
  <si>
    <t>Would driving this behaviour be achieved at the desired cost?</t>
  </si>
  <si>
    <t>Qualitative approach to identify your leverage point from patients' journey mapping</t>
  </si>
  <si>
    <t>MMM</t>
  </si>
  <si>
    <t>Tier 1</t>
  </si>
  <si>
    <t>Tier 2</t>
  </si>
  <si>
    <t>Tier 3</t>
  </si>
  <si>
    <t>Tier 4 &amp; Below</t>
  </si>
  <si>
    <t>Total</t>
  </si>
  <si>
    <t>HPL</t>
  </si>
  <si>
    <t>MPL</t>
  </si>
  <si>
    <t>LPL</t>
  </si>
  <si>
    <t>Not on List</t>
  </si>
  <si>
    <t>Doctor List</t>
  </si>
  <si>
    <t>Cardiologist</t>
  </si>
  <si>
    <t>Endocrinologist</t>
  </si>
  <si>
    <t>Physician</t>
  </si>
  <si>
    <t>Gastroenterologist</t>
  </si>
  <si>
    <t>Emergency Medicine</t>
  </si>
  <si>
    <t>Pulmonologist</t>
  </si>
  <si>
    <t>Geriatrician</t>
  </si>
  <si>
    <t>Pathology</t>
  </si>
  <si>
    <t>Neurologist</t>
  </si>
  <si>
    <t>Psychiatrist</t>
  </si>
  <si>
    <t>Dermatologist</t>
  </si>
  <si>
    <t>Nephrologist</t>
  </si>
  <si>
    <t>Infectious disease</t>
  </si>
  <si>
    <t>Surgeon</t>
  </si>
  <si>
    <t>Oncologist</t>
  </si>
  <si>
    <t>Gynecologist</t>
  </si>
  <si>
    <t>Pediatrician</t>
  </si>
  <si>
    <t>Allergist</t>
  </si>
  <si>
    <t>Otolaryngologist</t>
  </si>
  <si>
    <t>Orthopaedist</t>
  </si>
  <si>
    <t>Anesthesiology</t>
  </si>
  <si>
    <t>Select HCP</t>
  </si>
  <si>
    <t>Segment</t>
  </si>
  <si>
    <t>%</t>
  </si>
  <si>
    <t>Category</t>
  </si>
  <si>
    <t>Private Hospitals</t>
  </si>
  <si>
    <t>Public Hospitals</t>
  </si>
  <si>
    <t>Reimbursed</t>
  </si>
  <si>
    <t>\</t>
  </si>
  <si>
    <r>
      <t xml:space="preserve">Market Attractiveness
</t>
    </r>
    <r>
      <rPr>
        <b/>
        <sz val="14"/>
        <color theme="1"/>
        <rFont val="Calibri (Body)"/>
      </rPr>
      <t>Opportunities &amp; Threats</t>
    </r>
  </si>
  <si>
    <r>
      <rPr>
        <b/>
        <sz val="18"/>
        <color theme="1"/>
        <rFont val="Calibri (Body)"/>
      </rPr>
      <t>Competing Capabilities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 (Body)"/>
      </rPr>
      <t>Strenghts &amp; Weakness</t>
    </r>
  </si>
  <si>
    <t>Market</t>
  </si>
  <si>
    <t>Competitive Intensity</t>
  </si>
  <si>
    <t>Customer/Consumer Engagements</t>
  </si>
  <si>
    <t>Market Share</t>
  </si>
  <si>
    <t>Value Proposition or Differentiation</t>
  </si>
  <si>
    <t>- Market Size, Growth</t>
  </si>
  <si>
    <t>- Patient universe, diagnosed &amp; treated pool</t>
  </si>
  <si>
    <t>- Competitive Intensity # of players, top 3 leaders</t>
  </si>
  <si>
    <t>- Customer/Consumer Engagement of key competitors FF size, key strength</t>
  </si>
  <si>
    <t>- Brand Share &amp; growth</t>
  </si>
  <si>
    <t>- Product design, clinical data or endorsements as key differentiator</t>
  </si>
  <si>
    <t>- Brand's value proposition, support program e.g. access</t>
  </si>
  <si>
    <t>- Customer consumer engagement and FF size</t>
  </si>
  <si>
    <t>SUBGROUP</t>
  </si>
  <si>
    <t>BRAND</t>
  </si>
  <si>
    <t>COMPANY</t>
  </si>
  <si>
    <t>SKU</t>
  </si>
  <si>
    <t>PTR</t>
  </si>
  <si>
    <t>Sum of MAT VAL DEC 17</t>
  </si>
  <si>
    <t>Sum of MAT VAL DEC 18</t>
  </si>
  <si>
    <t>Sum of MAT VAL DEC 19</t>
  </si>
  <si>
    <t>Sum of MAT VAL DEC 20</t>
  </si>
  <si>
    <t>Sum of MAT VAL DEC 21</t>
  </si>
  <si>
    <t>Sum of MAT UNIT DEC 17</t>
  </si>
  <si>
    <t>Sum of MAT UNIT DEC 18</t>
  </si>
  <si>
    <t>Sum of MAT UNIT DEC 19</t>
  </si>
  <si>
    <t>Sum of MAT UNIT DEC 20</t>
  </si>
  <si>
    <t>Sum of MAT UNIT DEC 21</t>
  </si>
  <si>
    <t>Sum of SALES VALUE JAN-19</t>
  </si>
  <si>
    <t>Sum of SALES VALUE FEB-19</t>
  </si>
  <si>
    <t>Sum of SALES VALUE MAR-19</t>
  </si>
  <si>
    <t>Sum of SALES VALUE APR-19</t>
  </si>
  <si>
    <t>Sum of SALES VALUE MAY-19</t>
  </si>
  <si>
    <t>Sum of SALES VALUE JUN-19</t>
  </si>
  <si>
    <t>Sum of SALES VALUE JUL-19</t>
  </si>
  <si>
    <t>Sum of SALES VALUE AUG-19</t>
  </si>
  <si>
    <t>Sum of SALES VALUE SEP-19</t>
  </si>
  <si>
    <t>Sum of SALES VALUE OCT-19</t>
  </si>
  <si>
    <t>Sum of SALES VALUE NOV-19</t>
  </si>
  <si>
    <t>Sum of SALES VALUE DEC-19</t>
  </si>
  <si>
    <t>Sum of SALES VALUE JAN-20</t>
  </si>
  <si>
    <t>Sum of SALES VALUE FEB-20</t>
  </si>
  <si>
    <t>Sum of SALES VALUE MAR-20</t>
  </si>
  <si>
    <t>Sum of SALES VALUE APR-20</t>
  </si>
  <si>
    <t>Sum of SALES VALUE MAY-20</t>
  </si>
  <si>
    <t>Sum of SALES VALUE JUN-20</t>
  </si>
  <si>
    <t>Sum of SALES VALUE JUL-20</t>
  </si>
  <si>
    <t>Sum of SALES VALUE AUG-20</t>
  </si>
  <si>
    <t>Sum of SALES VALUE SEP-20</t>
  </si>
  <si>
    <t>Sum of SALES VALUE OCT-20</t>
  </si>
  <si>
    <t>Sum of SALES VALUE NOV-20</t>
  </si>
  <si>
    <t>Sum of SALES VALUE DEC-20</t>
  </si>
  <si>
    <t>Sum of SALES VALUE JAN-21</t>
  </si>
  <si>
    <t>Sum of SALES VALUE FEB-21</t>
  </si>
  <si>
    <t>Sum of SALES VALUE MAR-21</t>
  </si>
  <si>
    <t>Sum of SALES VALUE APR-21</t>
  </si>
  <si>
    <t>Sum of SALES VALUE MAY-21</t>
  </si>
  <si>
    <t>Sum of SALES VALUE JUN-21</t>
  </si>
  <si>
    <t>Sum of SALES VALUE JUL-21</t>
  </si>
  <si>
    <t>Sum of SALES VALUE AUG-21</t>
  </si>
  <si>
    <t>Sum of SALES VALUE SEP-21</t>
  </si>
  <si>
    <t>Sum of SALES VALUE OCT-21</t>
  </si>
  <si>
    <t>Sum of SALES VALUE NOV-21</t>
  </si>
  <si>
    <t>Sum of SALES VALUE DEC-21</t>
  </si>
  <si>
    <t>Sum of SALES UNIT JAN-19</t>
  </si>
  <si>
    <t>Sum of SALES UNIT FEB-19</t>
  </si>
  <si>
    <t>Sum of SALES UNIT MAR-19</t>
  </si>
  <si>
    <t>Sum of SALES UNIT APR-19</t>
  </si>
  <si>
    <t>Sum of SALES UNIT MAY-19</t>
  </si>
  <si>
    <t>Sum of SALES UNIT JUN-19</t>
  </si>
  <si>
    <t>Sum of SALES UNIT JUL-19</t>
  </si>
  <si>
    <t>Sum of SALES UNIT AUG-19</t>
  </si>
  <si>
    <t>Sum of SALES UNIT SEP-19</t>
  </si>
  <si>
    <t>Sum of SALES UNIT OCT-19</t>
  </si>
  <si>
    <t>Sum of SALES UNIT NOV-19</t>
  </si>
  <si>
    <t>Sum of SALES UNIT DEC-19</t>
  </si>
  <si>
    <t>Sum of SALES UNIT JAN-20</t>
  </si>
  <si>
    <t>Sum of SALES UNIT FEB-20</t>
  </si>
  <si>
    <t>Sum of SALES UNIT MAR-20</t>
  </si>
  <si>
    <t>Sum of SALES UNIT APR-20</t>
  </si>
  <si>
    <t>Sum of SALES UNIT MAY-20</t>
  </si>
  <si>
    <t>Sum of SALES UNIT JUN-20</t>
  </si>
  <si>
    <t>Sum of SALES UNIT JUL-20</t>
  </si>
  <si>
    <t>Sum of SALES UNIT AUG-20</t>
  </si>
  <si>
    <t>Sum of SALES UNIT SEP-20</t>
  </si>
  <si>
    <t>Sum of SALES UNIT OCT-20</t>
  </si>
  <si>
    <t>Sum of SALES UNIT NOV-20</t>
  </si>
  <si>
    <t>Sum of SALES UNIT DEC-20</t>
  </si>
  <si>
    <t>Sum of SALES UNIT JAN-21</t>
  </si>
  <si>
    <t>Sum of SALES UNIT FEB-21</t>
  </si>
  <si>
    <t>Sum of SALES UNIT MAR-21</t>
  </si>
  <si>
    <t>Sum of SALES UNIT APR-21</t>
  </si>
  <si>
    <t>Sum of SALES UNIT MAY-21</t>
  </si>
  <si>
    <t>Sum of SALES UNIT JUN-21</t>
  </si>
  <si>
    <t>Sum of SALES UNIT JUL-21</t>
  </si>
  <si>
    <t>Sum of SALES UNIT AUG-21</t>
  </si>
  <si>
    <t>Sum of SALES UNIT SEP-21</t>
  </si>
  <si>
    <t>Sum of SALES UNIT OCT-21</t>
  </si>
  <si>
    <t>Sum of SALES UNIT NOV-21</t>
  </si>
  <si>
    <t>Sum of SALES UNIT DEC-21</t>
  </si>
  <si>
    <t>SEX TONICS &amp; STIMULANTS | V3X2</t>
  </si>
  <si>
    <t>TENTEX FORTE</t>
  </si>
  <si>
    <t>HIMALAYA DRUG COMPANY</t>
  </si>
  <si>
    <t>TENTEX FORTE TABLET 10</t>
  </si>
  <si>
    <t>CONFIDO</t>
  </si>
  <si>
    <t>CONFIDO TABLET 60</t>
  </si>
  <si>
    <t>ADDYZOA</t>
  </si>
  <si>
    <t>CHARAK PHARMA PVT LTD</t>
  </si>
  <si>
    <t>ADDYZOA CAPSULE 20</t>
  </si>
  <si>
    <t>HIMCOLIN</t>
  </si>
  <si>
    <t>HIMCOLIN GEL 30 GM</t>
  </si>
  <si>
    <t>SIOTONE</t>
  </si>
  <si>
    <t>ALBERT DAVID</t>
  </si>
  <si>
    <t>SIOTONE CAPSULE 10</t>
  </si>
  <si>
    <t>ENDOBLOC T</t>
  </si>
  <si>
    <t>CIPLA LTD.</t>
  </si>
  <si>
    <t>ENDOBLOC T KIT TABLET 10</t>
  </si>
  <si>
    <t>SPEMAN</t>
  </si>
  <si>
    <t>SPEMAN TABLET 60</t>
  </si>
  <si>
    <t>NANO LEO</t>
  </si>
  <si>
    <t>SANZYME LTD</t>
  </si>
  <si>
    <t>NANO LEO CAPSULE 15</t>
  </si>
  <si>
    <t>VIRILEX</t>
  </si>
  <si>
    <t>TTK HEALTHCARE LTD</t>
  </si>
  <si>
    <t>VIRILEX TABLET 20</t>
  </si>
  <si>
    <t>ERACT X</t>
  </si>
  <si>
    <t>ZYDUS CADILA - ZHL</t>
  </si>
  <si>
    <t>ERACT X SACHET 10 GM</t>
  </si>
  <si>
    <t>NEO</t>
  </si>
  <si>
    <t>NEO TABLET 75</t>
  </si>
  <si>
    <t>SEMENTO</t>
  </si>
  <si>
    <t>AIMIL PHARMACEUTICAL (INDIA)</t>
  </si>
  <si>
    <t>SEMENTO CAPSULE 20</t>
  </si>
  <si>
    <t>SHILAJIT</t>
  </si>
  <si>
    <t>DABUR INDIA LTD.</t>
  </si>
  <si>
    <t>SHILAJIT CAPSULE 10</t>
  </si>
  <si>
    <t>SHILAJIT CAPSULE 100</t>
  </si>
  <si>
    <t>SHILAJIT CAPSULE 30</t>
  </si>
  <si>
    <t>SHILAJIT CAPSULE 50</t>
  </si>
  <si>
    <t>SHILAJIT GOLD CAPSULE 10</t>
  </si>
  <si>
    <t>SHILAJIT GOLD CAPSULE 20</t>
  </si>
  <si>
    <t>NANO LEO TOTAL</t>
  </si>
  <si>
    <t>NANO LEO TOTAL CAPSULE 10</t>
  </si>
  <si>
    <t>NANO LEO TOTAL SACHET 3 GM</t>
  </si>
  <si>
    <t>CLIMAX</t>
  </si>
  <si>
    <t>MIDAS CARE PHARMACEUTICALS PVT LTD</t>
  </si>
  <si>
    <t>CLIMAX SPRAY 15 GM</t>
  </si>
  <si>
    <t>EDRIVE C</t>
  </si>
  <si>
    <t>INNOVCARE LIFE SCIENCES PVT.LTD</t>
  </si>
  <si>
    <t>EDRIVE C TABLET 10</t>
  </si>
  <si>
    <t>VIGOREX</t>
  </si>
  <si>
    <t>ZANDU PHARMACEUTICALS WORKS LTD</t>
  </si>
  <si>
    <t>VIGOREX CAPSULE 10</t>
  </si>
  <si>
    <t>VIGOREX CAPSULE 20</t>
  </si>
  <si>
    <t>EDRIVE</t>
  </si>
  <si>
    <t>EDRIVE POWDER 15 GM</t>
  </si>
  <si>
    <t>VIGOMAX</t>
  </si>
  <si>
    <t>VIGOMAX CAPSULE 10</t>
  </si>
  <si>
    <t>VIGOMAX CAPSULE 20</t>
  </si>
  <si>
    <t>VIGOMAX FORTE TABLET 20</t>
  </si>
  <si>
    <t>IGNITOR ED</t>
  </si>
  <si>
    <t>IGNITOR ED SACHET 10 GM</t>
  </si>
  <si>
    <t>Y SPUR</t>
  </si>
  <si>
    <t>VILCO LABORATORIES PVT. LTD</t>
  </si>
  <si>
    <t>Y SPUR CAPSULE 30</t>
  </si>
  <si>
    <t>PALLRYWYN</t>
  </si>
  <si>
    <t>PALLRYWYN FORTE TABLET 20</t>
  </si>
  <si>
    <t>PALLRYWYN TABLET 20</t>
  </si>
  <si>
    <t>ENLARGE</t>
  </si>
  <si>
    <t>UNIVERSAL NUTRISCIENCE PVT LTD</t>
  </si>
  <si>
    <t>ENLARGE FORTE SACHET 10 GM</t>
  </si>
  <si>
    <t>V TWO</t>
  </si>
  <si>
    <t>V TWO 10 % GEL 10 GM</t>
  </si>
  <si>
    <t>V TWO SACHET 15 GM</t>
  </si>
  <si>
    <t>LIBIDUP</t>
  </si>
  <si>
    <t>MMC PHARMACEUTICALS LTD</t>
  </si>
  <si>
    <t>LIBIDUP SOFTGEL CAPSULE 15</t>
  </si>
  <si>
    <t>VIGORVIT FORTE</t>
  </si>
  <si>
    <t>INDSWIFT LABORATORIES LTD.</t>
  </si>
  <si>
    <t>VIGORVIT FORTE CAPSULE 10</t>
  </si>
  <si>
    <t>VIGOREX SF</t>
  </si>
  <si>
    <t>VIGOREX SF CAPSULE 15</t>
  </si>
  <si>
    <t>SENSA ED</t>
  </si>
  <si>
    <t>SENSA ED CAPSULE 10</t>
  </si>
  <si>
    <t>COMMANDO (NEOVEDIC)</t>
  </si>
  <si>
    <t>NEO VEDIC DRUG PHARMA</t>
  </si>
  <si>
    <t>COMMANDO (NEOVEDIC) CAPSULE 20</t>
  </si>
  <si>
    <t>COMMANDO (NEOVEDIC) OIL 15 ML</t>
  </si>
  <si>
    <t>VIVADONA</t>
  </si>
  <si>
    <t>VIVADONA CAPSULE 20</t>
  </si>
  <si>
    <t>VALIDO PLUS</t>
  </si>
  <si>
    <t>UNIVERSAL MEDIKIT</t>
  </si>
  <si>
    <t>VALIDO PLUS CAPSULE 10</t>
  </si>
  <si>
    <t>VALIDO PLUS CAPSULE 60</t>
  </si>
  <si>
    <t>NEO MT</t>
  </si>
  <si>
    <t>DIAL PHARMACEUTICALS PVT. LTD.</t>
  </si>
  <si>
    <t>NEO MT TABLET 6</t>
  </si>
  <si>
    <t>EROTICAN</t>
  </si>
  <si>
    <t>SANAT PRODUCTS LTD</t>
  </si>
  <si>
    <t>EROTICAN CAPSULE 10</t>
  </si>
  <si>
    <t>EVACTIVE</t>
  </si>
  <si>
    <t>RPG LIFE SCIENCES LTD.</t>
  </si>
  <si>
    <t>EVACTIVE TABLET 10</t>
  </si>
  <si>
    <t>AJAR</t>
  </si>
  <si>
    <t>CONCEPT PHARMACEUTICALS LTD</t>
  </si>
  <si>
    <t>AJAR CAPSULE 10</t>
  </si>
  <si>
    <t>UNILACT</t>
  </si>
  <si>
    <t>UNI LABS</t>
  </si>
  <si>
    <t>UNILACT GRANULES 200 GM</t>
  </si>
  <si>
    <t>UNILACT TABLET 10</t>
  </si>
  <si>
    <t>UNILACT TABLET 30</t>
  </si>
  <si>
    <t>BIG BOSS PLUS</t>
  </si>
  <si>
    <t>BIG BOSS PLUS TABLET 10</t>
  </si>
  <si>
    <t>MANIX</t>
  </si>
  <si>
    <t>WOCKHARDT LTD</t>
  </si>
  <si>
    <t>MANIX CAPSULE 10</t>
  </si>
  <si>
    <t>COMMANDO</t>
  </si>
  <si>
    <t>NEON LABORATORIES LTD</t>
  </si>
  <si>
    <t>COMMANDO CREAM 1 GM</t>
  </si>
  <si>
    <t>SEDUZ</t>
  </si>
  <si>
    <t>PHARMED LTD</t>
  </si>
  <si>
    <t>SEDUZ CAPSULE 10</t>
  </si>
  <si>
    <t>ATTOM</t>
  </si>
  <si>
    <t>SYNCOM FORMULATIONS (I) LIMITED</t>
  </si>
  <si>
    <t>ATTOM CAPSULE 10</t>
  </si>
  <si>
    <t>ATTOM OIL 15 ML</t>
  </si>
  <si>
    <t>IGNITOR</t>
  </si>
  <si>
    <t>IGNITOR TABLET 10</t>
  </si>
  <si>
    <t>Column1</t>
  </si>
  <si>
    <t>No. of Top Brands</t>
  </si>
  <si>
    <t>Brand</t>
  </si>
  <si>
    <t>Company Name</t>
  </si>
  <si>
    <t>Brand Name</t>
  </si>
  <si>
    <t>Ingredients</t>
  </si>
  <si>
    <t>Use</t>
  </si>
  <si>
    <t>Pack</t>
  </si>
  <si>
    <t>Doses &amp; Duration of Treatment</t>
  </si>
  <si>
    <t>MRP</t>
  </si>
  <si>
    <t>Insert AWACS data below &amp; remove all totals</t>
  </si>
  <si>
    <t>Totals</t>
  </si>
  <si>
    <t>T</t>
  </si>
  <si>
    <t>MAT VAL (in Crs.)</t>
  </si>
  <si>
    <t>MAT UNIT (in Crs.)</t>
  </si>
  <si>
    <t>Environmental Understanding</t>
  </si>
  <si>
    <t>Pull data from relevant sources</t>
  </si>
  <si>
    <t>Comp data</t>
  </si>
  <si>
    <t>Comp data section</t>
  </si>
  <si>
    <t>(Name)</t>
  </si>
  <si>
    <t>(Mechanism of Action)</t>
  </si>
  <si>
    <t>Country</t>
  </si>
  <si>
    <t>India</t>
  </si>
  <si>
    <t>Population 2024</t>
  </si>
  <si>
    <t>Population 2023</t>
  </si>
  <si>
    <t>Urban 2024</t>
  </si>
  <si>
    <t>Rural 2024</t>
  </si>
  <si>
    <t>GDP 2023 ($ Tr)</t>
  </si>
  <si>
    <t>Ease of Business Index 2023</t>
  </si>
  <si>
    <t>Home</t>
  </si>
  <si>
    <t>Next Step &gt;</t>
  </si>
  <si>
    <t>GDP 2022  ($ Tr)</t>
  </si>
  <si>
    <t>&lt; Back</t>
  </si>
  <si>
    <t>&lt; Previous Step</t>
  </si>
  <si>
    <t xml:space="preserve"> </t>
  </si>
  <si>
    <t>Features &amp; Attributes</t>
  </si>
  <si>
    <t>Supporting Evidence</t>
  </si>
  <si>
    <t>Rational Benefits</t>
  </si>
  <si>
    <t>Emotional Benefits</t>
  </si>
  <si>
    <t>Market CAGR</t>
  </si>
  <si>
    <t>Cr</t>
  </si>
  <si>
    <t>No. of Brands</t>
  </si>
  <si>
    <t>Growth Rate</t>
  </si>
  <si>
    <t>Years</t>
  </si>
  <si>
    <t>* The above data has been taken as of April 2024</t>
  </si>
  <si>
    <t>Add details of main ingredients</t>
  </si>
  <si>
    <t>Describe use of the drug</t>
  </si>
  <si>
    <t>Provide MRP of drug</t>
  </si>
  <si>
    <t>Enter previous year sales</t>
  </si>
  <si>
    <t>Long term growth potential</t>
  </si>
  <si>
    <t>Industry size</t>
  </si>
  <si>
    <t>Industry profitability</t>
  </si>
  <si>
    <t>Entry/Exit barriers</t>
  </si>
  <si>
    <t>Supplier or buyer market</t>
  </si>
  <si>
    <t>input for reach and physician reach</t>
  </si>
  <si>
    <t>Rheumatologist</t>
  </si>
  <si>
    <t>GP</t>
  </si>
  <si>
    <t>CP</t>
  </si>
  <si>
    <t>Provide details of typical dosage and duration of treatment, by clicking on the sub heading link</t>
  </si>
  <si>
    <t>Dosage</t>
  </si>
  <si>
    <t>Per Day</t>
  </si>
  <si>
    <t>How many months?</t>
  </si>
  <si>
    <t>tablets</t>
  </si>
  <si>
    <t>How many years?</t>
  </si>
  <si>
    <t>tabs</t>
  </si>
  <si>
    <t>Pack type</t>
  </si>
  <si>
    <t>Cost to user</t>
  </si>
  <si>
    <t>per day</t>
  </si>
  <si>
    <t>per month</t>
  </si>
  <si>
    <t>INR</t>
  </si>
  <si>
    <t>days</t>
  </si>
  <si>
    <t>Nos. (in Mn)</t>
  </si>
  <si>
    <t>Chest Physician</t>
  </si>
  <si>
    <t>ENT</t>
  </si>
  <si>
    <t>Internal Medicine</t>
  </si>
  <si>
    <t>Patents</t>
  </si>
  <si>
    <t>Trials</t>
  </si>
  <si>
    <t>Claims</t>
  </si>
  <si>
    <t>Delivery Technology</t>
  </si>
  <si>
    <t>Format</t>
  </si>
  <si>
    <t>Manufacturing &amp; Development Capability</t>
  </si>
  <si>
    <t>Channel Strength</t>
  </si>
  <si>
    <t>Category Size</t>
  </si>
  <si>
    <t>Category Growth</t>
  </si>
  <si>
    <t>Regulatory Challenges</t>
  </si>
  <si>
    <t>Urologist</t>
  </si>
  <si>
    <t>Business Strength</t>
  </si>
  <si>
    <t>Market Attractiveness</t>
  </si>
  <si>
    <t>Publication</t>
  </si>
  <si>
    <t>Ingredient</t>
  </si>
  <si>
    <t>Product Strength</t>
  </si>
  <si>
    <t>Key Brands, Market Share &amp; Growth</t>
  </si>
  <si>
    <t>Total No. of Brands</t>
  </si>
  <si>
    <t>No. of Companies</t>
  </si>
  <si>
    <t>Count of COMPANY</t>
  </si>
  <si>
    <t>Row Labels</t>
  </si>
  <si>
    <t>Grand Total</t>
  </si>
  <si>
    <t>Sum of Sum of MAT VAL DEC 21</t>
  </si>
  <si>
    <t>Sum of Sum of MAT VAL DEC 20</t>
  </si>
  <si>
    <t>GR</t>
  </si>
  <si>
    <t>MS</t>
  </si>
  <si>
    <t>Total No. of Companies</t>
  </si>
  <si>
    <t>Key Players, Market Share &amp; Growth</t>
  </si>
  <si>
    <t>Influence of National Policies</t>
  </si>
  <si>
    <t>Product Life cycle</t>
  </si>
  <si>
    <t>Disease Burden</t>
  </si>
  <si>
    <t>Competing Capability</t>
  </si>
  <si>
    <t>Product Design</t>
  </si>
  <si>
    <t>Product Design 1</t>
  </si>
  <si>
    <t>Product Design 2</t>
  </si>
  <si>
    <t>Product Design 3</t>
  </si>
  <si>
    <t>Clinical Data</t>
  </si>
  <si>
    <t>Clinical Data 1</t>
  </si>
  <si>
    <t>Clinical Data 2</t>
  </si>
  <si>
    <t>Clinical Data 3</t>
  </si>
  <si>
    <t>Endorsements 1</t>
  </si>
  <si>
    <t>Endorsements 2</t>
  </si>
  <si>
    <t>Endorsements 3</t>
  </si>
  <si>
    <t>Key Customer Insight</t>
  </si>
  <si>
    <t>Single Minded Proposition</t>
  </si>
  <si>
    <t>Patients 1</t>
  </si>
  <si>
    <t>Patients 2</t>
  </si>
  <si>
    <t>Customers 1</t>
  </si>
  <si>
    <t>Customers 2</t>
  </si>
  <si>
    <t>Endorsements</t>
  </si>
  <si>
    <t>Customers</t>
  </si>
  <si>
    <t>High</t>
  </si>
  <si>
    <t>Moderate</t>
  </si>
  <si>
    <t>Innovator/Generic</t>
  </si>
  <si>
    <t>Innovator</t>
  </si>
  <si>
    <t>s</t>
  </si>
  <si>
    <t>Brand essence</t>
  </si>
  <si>
    <t>Make input areas for diagnosis types, and treament+Class choice</t>
  </si>
  <si>
    <t>AWACS Data, surgical, pharma, other - then check classes</t>
  </si>
  <si>
    <t>if brand choice is below 45 then brand choice, full and adherace</t>
  </si>
  <si>
    <t>If above 50, then class choice</t>
  </si>
  <si>
    <t>Give option for user choice also, max 3</t>
  </si>
  <si>
    <t>Low to none</t>
  </si>
  <si>
    <t>China</t>
  </si>
  <si>
    <t>GNI per capita</t>
  </si>
  <si>
    <t>GNI per Capita</t>
  </si>
  <si>
    <t>Strong</t>
  </si>
  <si>
    <t>Pharma market size 2023 (Bn)</t>
  </si>
  <si>
    <t>&gt;30%</t>
  </si>
  <si>
    <t>Innovator vs Generic</t>
  </si>
  <si>
    <t>Balanced</t>
  </si>
  <si>
    <t>Out of Pocket</t>
  </si>
  <si>
    <t>Policy has Brand Name</t>
  </si>
  <si>
    <t>Data</t>
  </si>
  <si>
    <t>Drug Class</t>
  </si>
  <si>
    <t>Medical Societies</t>
  </si>
  <si>
    <t>Product Design-Uniqueness/Superiority</t>
  </si>
  <si>
    <t>Clinical Evidence/Endorsements</t>
  </si>
  <si>
    <t>Universe</t>
  </si>
  <si>
    <t>Coverage</t>
  </si>
  <si>
    <t>MMM %</t>
  </si>
  <si>
    <t>Tier 1 %</t>
  </si>
  <si>
    <t>Tier 2%</t>
  </si>
  <si>
    <t>Tier 3%</t>
  </si>
  <si>
    <t>Tier 4 &amp; Below %</t>
  </si>
  <si>
    <t>Last Year Sales</t>
  </si>
  <si>
    <t>Other Ingredients</t>
  </si>
  <si>
    <t>User Option</t>
  </si>
  <si>
    <t>Y/N</t>
  </si>
  <si>
    <t>Y</t>
  </si>
  <si>
    <t>N</t>
  </si>
  <si>
    <t>Definition</t>
  </si>
  <si>
    <t>Key Ingredient</t>
  </si>
  <si>
    <t>• Key molecules and drug classes</t>
  </si>
  <si>
    <t>• Which are the top most specialities in the market in terms of total prescriptions as welll as PD ration</t>
  </si>
  <si>
    <t>• What are the main brands and their companies</t>
  </si>
  <si>
    <t>Write take away here</t>
  </si>
  <si>
    <t xml:space="preserve">doctor </t>
  </si>
  <si>
    <t xml:space="preserve">and </t>
  </si>
  <si>
    <t>coverage</t>
  </si>
  <si>
    <t>Is the brand attractive to do business?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</si>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</sst>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0.0%"/>
    <numFmt numFmtId="168" formatCode="[$$-409]#,##0"/>
    <numFmt numFmtId="169" formatCode="_(* #,##0.0_);_(* \(#,##0.0\);_(* &quot;-&quot;??_);_(@_)"/>
  </numFmts>
  <fonts count="4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 (Body)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 (Body)"/>
    </font>
    <font>
      <b/>
      <sz val="18"/>
      <color theme="1"/>
      <name val="Calibri (Body)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sz val="12"/>
      <color theme="2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  <font>
      <u/>
      <sz val="14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b/>
      <sz val="26"/>
      <color rgb="FFC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theme="0" tint="-0.34998626667073579"/>
      <name val="Calibri"/>
      <family val="2"/>
      <scheme val="minor"/>
    </font>
    <font>
      <b/>
      <sz val="8"/>
      <color theme="3" tint="-0.49998474074526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29C2A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medium">
        <color theme="4" tint="0.39997558519241921"/>
      </right>
      <top style="medium">
        <color theme="4" tint="0.39997558519241921"/>
      </top>
      <bottom style="medium">
        <color theme="4" tint="0.39997558519241921"/>
      </bottom>
      <diagonal/>
    </border>
    <border>
      <left/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/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/>
      <right style="medium">
        <color theme="7" tint="0.39997558519241921"/>
      </right>
      <top style="medium">
        <color theme="7" tint="0.39997558519241921"/>
      </top>
      <bottom style="medium">
        <color theme="7" tint="0.39997558519241921"/>
      </bottom>
      <diagonal/>
    </border>
    <border>
      <left/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/>
      <right/>
      <top style="medium">
        <color theme="4" tint="0.39997558519241921"/>
      </top>
      <bottom style="medium">
        <color theme="4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/>
      <top style="medium">
        <color theme="7" tint="0.39997558519241921"/>
      </top>
      <bottom style="medium">
        <color theme="7" tint="0.39997558519241921"/>
      </bottom>
      <diagonal/>
    </border>
    <border>
      <left/>
      <right/>
      <top style="medium">
        <color theme="3" tint="0.39997558519241921"/>
      </top>
      <bottom style="medium">
        <color theme="3" tint="0.3999755851924192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7"/>
      </bottom>
      <diagonal/>
    </border>
    <border>
      <left/>
      <right/>
      <top style="thick">
        <color theme="7"/>
      </top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20" fillId="0" borderId="0"/>
    <xf numFmtId="0" fontId="22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334">
    <xf numFmtId="0" fontId="0" fillId="0" borderId="0" xfId="0"/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textRotation="90"/>
    </xf>
    <xf numFmtId="0" fontId="2" fillId="0" borderId="0" xfId="0" applyFont="1" applyAlignment="1">
      <alignment vertical="center"/>
    </xf>
    <xf numFmtId="0" fontId="0" fillId="9" borderId="14" xfId="0" applyFill="1" applyBorder="1"/>
    <xf numFmtId="0" fontId="0" fillId="10" borderId="15" xfId="0" applyFill="1" applyBorder="1"/>
    <xf numFmtId="0" fontId="0" fillId="11" borderId="16" xfId="0" applyFill="1" applyBorder="1"/>
    <xf numFmtId="0" fontId="0" fillId="12" borderId="17" xfId="0" applyFill="1" applyBorder="1"/>
    <xf numFmtId="0" fontId="0" fillId="13" borderId="18" xfId="0" applyFill="1" applyBorder="1"/>
    <xf numFmtId="0" fontId="0" fillId="14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6" fillId="8" borderId="0" xfId="0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6" fillId="8" borderId="0" xfId="0" applyFont="1" applyFill="1" applyAlignment="1">
      <alignment textRotation="90" wrapText="1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17" borderId="0" xfId="0" applyFill="1"/>
    <xf numFmtId="0" fontId="2" fillId="9" borderId="19" xfId="0" applyFont="1" applyFill="1" applyBorder="1" applyAlignment="1">
      <alignment horizontal="center" vertical="center" textRotation="90"/>
    </xf>
    <xf numFmtId="0" fontId="2" fillId="10" borderId="20" xfId="0" applyFont="1" applyFill="1" applyBorder="1" applyAlignment="1">
      <alignment horizontal="center" vertical="center" textRotation="90"/>
    </xf>
    <xf numFmtId="0" fontId="2" fillId="11" borderId="21" xfId="0" applyFont="1" applyFill="1" applyBorder="1" applyAlignment="1">
      <alignment horizontal="center" vertical="center" textRotation="90"/>
    </xf>
    <xf numFmtId="0" fontId="2" fillId="12" borderId="22" xfId="0" applyFont="1" applyFill="1" applyBorder="1" applyAlignment="1">
      <alignment horizontal="center" vertical="center" textRotation="90"/>
    </xf>
    <xf numFmtId="0" fontId="2" fillId="13" borderId="23" xfId="0" applyFont="1" applyFill="1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8" fillId="8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0" fillId="8" borderId="0" xfId="0" applyFill="1" applyAlignment="1">
      <alignment horizontal="center"/>
    </xf>
    <xf numFmtId="9" fontId="0" fillId="17" borderId="0" xfId="1" applyFont="1" applyFill="1" applyAlignment="1">
      <alignment horizontal="center"/>
    </xf>
    <xf numFmtId="0" fontId="2" fillId="18" borderId="24" xfId="0" applyFont="1" applyFill="1" applyBorder="1" applyAlignment="1">
      <alignment horizontal="center" vertical="center"/>
    </xf>
    <xf numFmtId="9" fontId="0" fillId="17" borderId="24" xfId="1" applyFont="1" applyFill="1" applyBorder="1" applyAlignment="1">
      <alignment horizontal="center" vertical="center"/>
    </xf>
    <xf numFmtId="9" fontId="0" fillId="8" borderId="0" xfId="0" applyNumberFormat="1" applyFill="1"/>
    <xf numFmtId="0" fontId="2" fillId="10" borderId="24" xfId="0" applyFont="1" applyFill="1" applyBorder="1" applyAlignment="1">
      <alignment horizontal="center" vertical="center"/>
    </xf>
    <xf numFmtId="0" fontId="2" fillId="12" borderId="24" xfId="0" applyFont="1" applyFill="1" applyBorder="1" applyAlignment="1">
      <alignment horizontal="center" vertical="center"/>
    </xf>
    <xf numFmtId="0" fontId="2" fillId="11" borderId="24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8" fillId="8" borderId="0" xfId="0" applyFont="1" applyFill="1" applyAlignment="1">
      <alignment wrapText="1"/>
    </xf>
    <xf numFmtId="0" fontId="0" fillId="17" borderId="24" xfId="0" applyFill="1" applyBorder="1" applyAlignment="1">
      <alignment wrapText="1"/>
    </xf>
    <xf numFmtId="0" fontId="0" fillId="17" borderId="0" xfId="0" applyFill="1" applyAlignment="1">
      <alignment wrapText="1"/>
    </xf>
    <xf numFmtId="0" fontId="0" fillId="8" borderId="0" xfId="0" applyFill="1" applyAlignment="1">
      <alignment wrapText="1"/>
    </xf>
    <xf numFmtId="0" fontId="10" fillId="8" borderId="0" xfId="0" applyFont="1" applyFill="1"/>
    <xf numFmtId="0" fontId="10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right" wrapText="1"/>
    </xf>
    <xf numFmtId="0" fontId="10" fillId="20" borderId="0" xfId="0" applyFont="1" applyFill="1"/>
    <xf numFmtId="0" fontId="1" fillId="2" borderId="0" xfId="0" applyFont="1" applyFill="1"/>
    <xf numFmtId="0" fontId="0" fillId="21" borderId="0" xfId="0" applyFill="1"/>
    <xf numFmtId="0" fontId="1" fillId="22" borderId="0" xfId="0" applyFont="1" applyFill="1"/>
    <xf numFmtId="0" fontId="0" fillId="23" borderId="0" xfId="0" applyFill="1"/>
    <xf numFmtId="0" fontId="12" fillId="17" borderId="0" xfId="0" applyFont="1" applyFill="1" applyAlignment="1">
      <alignment wrapText="1"/>
    </xf>
    <xf numFmtId="0" fontId="12" fillId="17" borderId="29" xfId="0" applyFont="1" applyFill="1" applyBorder="1" applyAlignment="1">
      <alignment wrapText="1"/>
    </xf>
    <xf numFmtId="0" fontId="0" fillId="25" borderId="0" xfId="0" applyFill="1"/>
    <xf numFmtId="0" fontId="0" fillId="23" borderId="0" xfId="0" applyFill="1" applyAlignment="1">
      <alignment wrapText="1"/>
    </xf>
    <xf numFmtId="0" fontId="2" fillId="23" borderId="0" xfId="0" applyFont="1" applyFill="1"/>
    <xf numFmtId="0" fontId="0" fillId="23" borderId="0" xfId="0" applyFill="1" applyAlignment="1">
      <alignment vertical="center" wrapText="1"/>
    </xf>
    <xf numFmtId="0" fontId="2" fillId="23" borderId="0" xfId="0" applyFont="1" applyFill="1" applyAlignment="1">
      <alignment vertical="center"/>
    </xf>
    <xf numFmtId="0" fontId="11" fillId="23" borderId="0" xfId="0" applyFont="1" applyFill="1"/>
    <xf numFmtId="0" fontId="0" fillId="17" borderId="34" xfId="0" applyFill="1" applyBorder="1"/>
    <xf numFmtId="0" fontId="0" fillId="17" borderId="35" xfId="0" applyFill="1" applyBorder="1"/>
    <xf numFmtId="0" fontId="0" fillId="17" borderId="36" xfId="0" applyFill="1" applyBorder="1"/>
    <xf numFmtId="0" fontId="0" fillId="17" borderId="30" xfId="0" applyFill="1" applyBorder="1"/>
    <xf numFmtId="0" fontId="0" fillId="17" borderId="37" xfId="0" applyFill="1" applyBorder="1"/>
    <xf numFmtId="0" fontId="0" fillId="17" borderId="41" xfId="0" applyFill="1" applyBorder="1"/>
    <xf numFmtId="0" fontId="0" fillId="17" borderId="42" xfId="0" applyFill="1" applyBorder="1"/>
    <xf numFmtId="0" fontId="0" fillId="17" borderId="43" xfId="0" applyFill="1" applyBorder="1"/>
    <xf numFmtId="0" fontId="0" fillId="17" borderId="45" xfId="0" applyFill="1" applyBorder="1"/>
    <xf numFmtId="0" fontId="0" fillId="17" borderId="44" xfId="0" applyFill="1" applyBorder="1"/>
    <xf numFmtId="0" fontId="13" fillId="17" borderId="0" xfId="0" applyFont="1" applyFill="1"/>
    <xf numFmtId="0" fontId="17" fillId="27" borderId="0" xfId="0" applyFont="1" applyFill="1"/>
    <xf numFmtId="0" fontId="0" fillId="17" borderId="0" xfId="0" quotePrefix="1" applyFill="1"/>
    <xf numFmtId="0" fontId="18" fillId="27" borderId="0" xfId="0" quotePrefix="1" applyFont="1" applyFill="1"/>
    <xf numFmtId="0" fontId="20" fillId="0" borderId="0" xfId="2"/>
    <xf numFmtId="2" fontId="0" fillId="0" borderId="0" xfId="0" applyNumberFormat="1"/>
    <xf numFmtId="0" fontId="21" fillId="28" borderId="47" xfId="2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9" fontId="0" fillId="0" borderId="0" xfId="1" applyFont="1"/>
    <xf numFmtId="0" fontId="22" fillId="0" borderId="0" xfId="3"/>
    <xf numFmtId="0" fontId="0" fillId="0" borderId="0" xfId="0" applyAlignment="1">
      <alignment horizontal="left" vertical="top"/>
    </xf>
    <xf numFmtId="0" fontId="24" fillId="0" borderId="0" xfId="0" applyFont="1"/>
    <xf numFmtId="0" fontId="0" fillId="29" borderId="0" xfId="0" applyFill="1"/>
    <xf numFmtId="0" fontId="24" fillId="29" borderId="0" xfId="0" applyFont="1" applyFill="1"/>
    <xf numFmtId="0" fontId="24" fillId="0" borderId="48" xfId="0" applyFont="1" applyBorder="1"/>
    <xf numFmtId="0" fontId="24" fillId="0" borderId="49" xfId="0" applyFont="1" applyBorder="1"/>
    <xf numFmtId="0" fontId="24" fillId="0" borderId="50" xfId="0" applyFont="1" applyBorder="1"/>
    <xf numFmtId="0" fontId="6" fillId="30" borderId="0" xfId="0" applyFont="1" applyFill="1"/>
    <xf numFmtId="0" fontId="25" fillId="28" borderId="55" xfId="2" applyFont="1" applyFill="1" applyBorder="1"/>
    <xf numFmtId="0" fontId="25" fillId="28" borderId="46" xfId="2" applyFont="1" applyFill="1" applyBorder="1"/>
    <xf numFmtId="0" fontId="25" fillId="28" borderId="56" xfId="2" applyFont="1" applyFill="1" applyBorder="1"/>
    <xf numFmtId="0" fontId="21" fillId="28" borderId="55" xfId="2" applyFont="1" applyFill="1" applyBorder="1"/>
    <xf numFmtId="0" fontId="21" fillId="28" borderId="46" xfId="2" applyFont="1" applyFill="1" applyBorder="1"/>
    <xf numFmtId="0" fontId="20" fillId="28" borderId="46" xfId="2" applyFill="1" applyBorder="1"/>
    <xf numFmtId="165" fontId="20" fillId="28" borderId="46" xfId="2" applyNumberFormat="1" applyFill="1" applyBorder="1" applyAlignment="1">
      <alignment horizontal="center"/>
    </xf>
    <xf numFmtId="165" fontId="20" fillId="28" borderId="56" xfId="2" applyNumberFormat="1" applyFill="1" applyBorder="1" applyAlignment="1">
      <alignment horizontal="center"/>
    </xf>
    <xf numFmtId="0" fontId="21" fillId="0" borderId="55" xfId="2" applyFont="1" applyBorder="1"/>
    <xf numFmtId="0" fontId="21" fillId="0" borderId="46" xfId="2" applyFont="1" applyBorder="1"/>
    <xf numFmtId="0" fontId="20" fillId="0" borderId="46" xfId="2" applyBorder="1"/>
    <xf numFmtId="165" fontId="20" fillId="0" borderId="46" xfId="2" applyNumberFormat="1" applyBorder="1" applyAlignment="1">
      <alignment horizontal="center"/>
    </xf>
    <xf numFmtId="165" fontId="20" fillId="0" borderId="56" xfId="2" applyNumberFormat="1" applyBorder="1" applyAlignment="1">
      <alignment horizontal="center"/>
    </xf>
    <xf numFmtId="165" fontId="20" fillId="0" borderId="0" xfId="2" applyNumberFormat="1"/>
    <xf numFmtId="0" fontId="0" fillId="0" borderId="0" xfId="0" applyAlignment="1">
      <alignment horizontal="right"/>
    </xf>
    <xf numFmtId="0" fontId="27" fillId="23" borderId="0" xfId="0" applyFont="1" applyFill="1"/>
    <xf numFmtId="0" fontId="28" fillId="21" borderId="0" xfId="0" applyFont="1" applyFill="1"/>
    <xf numFmtId="0" fontId="28" fillId="23" borderId="0" xfId="0" applyFont="1" applyFill="1"/>
    <xf numFmtId="0" fontId="0" fillId="0" borderId="0" xfId="0" applyAlignment="1">
      <alignment horizontal="left"/>
    </xf>
    <xf numFmtId="0" fontId="26" fillId="12" borderId="0" xfId="0" applyFont="1" applyFill="1" applyAlignment="1">
      <alignment horizontal="center" vertical="center" wrapText="1"/>
    </xf>
    <xf numFmtId="0" fontId="26" fillId="23" borderId="0" xfId="0" applyFont="1" applyFill="1" applyAlignment="1">
      <alignment horizontal="center" vertical="center" wrapText="1"/>
    </xf>
    <xf numFmtId="166" fontId="30" fillId="23" borderId="0" xfId="4" applyNumberFormat="1" applyFont="1" applyFill="1" applyAlignment="1">
      <alignment horizontal="center"/>
    </xf>
    <xf numFmtId="167" fontId="30" fillId="23" borderId="0" xfId="1" applyNumberFormat="1" applyFont="1" applyFill="1" applyAlignment="1">
      <alignment horizontal="center"/>
    </xf>
    <xf numFmtId="0" fontId="30" fillId="23" borderId="0" xfId="0" applyFont="1" applyFill="1" applyAlignment="1">
      <alignment horizontal="center"/>
    </xf>
    <xf numFmtId="0" fontId="7" fillId="17" borderId="0" xfId="0" applyFont="1" applyFill="1" applyAlignment="1">
      <alignment horizontal="center"/>
    </xf>
    <xf numFmtId="10" fontId="2" fillId="23" borderId="0" xfId="1" applyNumberFormat="1" applyFont="1" applyFill="1"/>
    <xf numFmtId="0" fontId="30" fillId="23" borderId="0" xfId="0" applyFont="1" applyFill="1"/>
    <xf numFmtId="0" fontId="2" fillId="17" borderId="5" xfId="0" applyFont="1" applyFill="1" applyBorder="1" applyAlignment="1">
      <alignment vertical="center" wrapText="1"/>
    </xf>
    <xf numFmtId="167" fontId="0" fillId="17" borderId="0" xfId="0" applyNumberFormat="1" applyFill="1" applyAlignment="1">
      <alignment horizontal="left" vertical="center"/>
    </xf>
    <xf numFmtId="0" fontId="2" fillId="17" borderId="5" xfId="0" applyFont="1" applyFill="1" applyBorder="1" applyAlignment="1">
      <alignment vertical="center"/>
    </xf>
    <xf numFmtId="0" fontId="0" fillId="17" borderId="0" xfId="0" applyFill="1" applyAlignment="1">
      <alignment vertical="center"/>
    </xf>
    <xf numFmtId="0" fontId="2" fillId="17" borderId="2" xfId="0" applyFont="1" applyFill="1" applyBorder="1" applyAlignment="1">
      <alignment vertical="center"/>
    </xf>
    <xf numFmtId="164" fontId="0" fillId="17" borderId="3" xfId="0" applyNumberFormat="1" applyFill="1" applyBorder="1" applyAlignment="1">
      <alignment vertical="center"/>
    </xf>
    <xf numFmtId="0" fontId="2" fillId="17" borderId="3" xfId="0" applyFont="1" applyFill="1" applyBorder="1" applyAlignment="1">
      <alignment vertical="center"/>
    </xf>
    <xf numFmtId="0" fontId="0" fillId="23" borderId="0" xfId="0" applyFill="1" applyAlignment="1">
      <alignment vertical="center"/>
    </xf>
    <xf numFmtId="0" fontId="2" fillId="17" borderId="0" xfId="0" applyFont="1" applyFill="1" applyAlignment="1">
      <alignment vertical="center"/>
    </xf>
    <xf numFmtId="0" fontId="0" fillId="17" borderId="6" xfId="0" applyFill="1" applyBorder="1" applyAlignment="1">
      <alignment vertical="center"/>
    </xf>
    <xf numFmtId="0" fontId="2" fillId="17" borderId="0" xfId="0" applyFont="1" applyFill="1" applyAlignment="1">
      <alignment vertical="center" wrapText="1"/>
    </xf>
    <xf numFmtId="166" fontId="0" fillId="17" borderId="6" xfId="0" applyNumberFormat="1" applyFill="1" applyBorder="1" applyAlignment="1">
      <alignment vertical="center"/>
    </xf>
    <xf numFmtId="0" fontId="0" fillId="17" borderId="8" xfId="0" applyFill="1" applyBorder="1" applyAlignment="1">
      <alignment vertical="center"/>
    </xf>
    <xf numFmtId="0" fontId="0" fillId="17" borderId="9" xfId="0" applyFill="1" applyBorder="1" applyAlignment="1">
      <alignment vertical="center"/>
    </xf>
    <xf numFmtId="0" fontId="33" fillId="23" borderId="0" xfId="3" applyFont="1" applyFill="1"/>
    <xf numFmtId="168" fontId="0" fillId="17" borderId="0" xfId="0" applyNumberFormat="1" applyFill="1" applyAlignment="1">
      <alignment horizontal="left" vertical="center"/>
    </xf>
    <xf numFmtId="0" fontId="4" fillId="17" borderId="0" xfId="0" applyFont="1" applyFill="1"/>
    <xf numFmtId="0" fontId="6" fillId="17" borderId="0" xfId="0" applyFont="1" applyFill="1"/>
    <xf numFmtId="9" fontId="4" fillId="17" borderId="0" xfId="1" applyFont="1" applyFill="1"/>
    <xf numFmtId="9" fontId="20" fillId="0" borderId="0" xfId="1" applyFont="1"/>
    <xf numFmtId="0" fontId="0" fillId="17" borderId="0" xfId="0" applyFill="1" applyAlignment="1">
      <alignment horizontal="right"/>
    </xf>
    <xf numFmtId="0" fontId="2" fillId="17" borderId="0" xfId="0" applyFont="1" applyFill="1" applyAlignment="1">
      <alignment horizontal="right"/>
    </xf>
    <xf numFmtId="0" fontId="35" fillId="23" borderId="0" xfId="0" applyFont="1" applyFill="1"/>
    <xf numFmtId="0" fontId="29" fillId="0" borderId="49" xfId="0" applyFont="1" applyBorder="1"/>
    <xf numFmtId="0" fontId="0" fillId="14" borderId="0" xfId="0" applyFill="1"/>
    <xf numFmtId="0" fontId="22" fillId="29" borderId="0" xfId="3" applyFill="1"/>
    <xf numFmtId="1" fontId="0" fillId="29" borderId="0" xfId="0" applyNumberFormat="1" applyFill="1"/>
    <xf numFmtId="0" fontId="0" fillId="33" borderId="0" xfId="0" applyFill="1"/>
    <xf numFmtId="0" fontId="0" fillId="11" borderId="0" xfId="0" applyFill="1"/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15" borderId="0" xfId="0" applyFill="1"/>
    <xf numFmtId="0" fontId="0" fillId="34" borderId="0" xfId="0" applyFill="1"/>
    <xf numFmtId="0" fontId="0" fillId="10" borderId="0" xfId="0" applyFill="1"/>
    <xf numFmtId="0" fontId="1" fillId="23" borderId="0" xfId="0" applyFont="1" applyFill="1"/>
    <xf numFmtId="0" fontId="2" fillId="17" borderId="7" xfId="0" applyFont="1" applyFill="1" applyBorder="1" applyAlignment="1">
      <alignment vertical="center"/>
    </xf>
    <xf numFmtId="0" fontId="0" fillId="17" borderId="52" xfId="0" applyFill="1" applyBorder="1" applyAlignment="1">
      <alignment vertical="center"/>
    </xf>
    <xf numFmtId="0" fontId="2" fillId="17" borderId="51" xfId="0" applyFont="1" applyFill="1" applyBorder="1" applyAlignment="1">
      <alignment vertical="center"/>
    </xf>
    <xf numFmtId="0" fontId="2" fillId="17" borderId="51" xfId="0" applyFont="1" applyFill="1" applyBorder="1" applyAlignment="1">
      <alignment vertical="center" wrapText="1"/>
    </xf>
    <xf numFmtId="0" fontId="0" fillId="0" borderId="0" xfId="0" pivotButton="1"/>
    <xf numFmtId="2" fontId="2" fillId="0" borderId="0" xfId="0" applyNumberFormat="1" applyFont="1"/>
    <xf numFmtId="0" fontId="0" fillId="17" borderId="8" xfId="0" applyFill="1" applyBorder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17" borderId="8" xfId="0" applyFont="1" applyFill="1" applyBorder="1" applyAlignment="1">
      <alignment horizontal="left" vertical="center" wrapText="1"/>
    </xf>
    <xf numFmtId="2" fontId="2" fillId="17" borderId="8" xfId="0" applyNumberFormat="1" applyFont="1" applyFill="1" applyBorder="1" applyAlignment="1">
      <alignment vertical="center"/>
    </xf>
    <xf numFmtId="9" fontId="0" fillId="17" borderId="0" xfId="1" applyFont="1" applyFill="1" applyAlignment="1">
      <alignment horizontal="left" vertical="center" indent="1"/>
    </xf>
    <xf numFmtId="2" fontId="0" fillId="17" borderId="0" xfId="0" applyNumberFormat="1" applyFill="1" applyAlignment="1">
      <alignment horizontal="left" vertical="center"/>
    </xf>
    <xf numFmtId="9" fontId="0" fillId="17" borderId="0" xfId="0" applyNumberFormat="1" applyFill="1" applyAlignment="1">
      <alignment horizontal="left" vertical="center"/>
    </xf>
    <xf numFmtId="0" fontId="2" fillId="17" borderId="8" xfId="0" applyFont="1" applyFill="1" applyBorder="1" applyAlignment="1">
      <alignment vertical="center"/>
    </xf>
    <xf numFmtId="0" fontId="0" fillId="36" borderId="0" xfId="0" applyFill="1"/>
    <xf numFmtId="0" fontId="0" fillId="23" borderId="0" xfId="0" applyFill="1" applyAlignment="1">
      <alignment horizontal="left"/>
    </xf>
    <xf numFmtId="0" fontId="0" fillId="17" borderId="61" xfId="0" applyFill="1" applyBorder="1" applyAlignment="1">
      <alignment vertical="top" wrapText="1"/>
    </xf>
    <xf numFmtId="0" fontId="0" fillId="17" borderId="0" xfId="0" applyFill="1" applyAlignment="1">
      <alignment vertical="top" wrapText="1"/>
    </xf>
    <xf numFmtId="0" fontId="0" fillId="17" borderId="58" xfId="0" applyFill="1" applyBorder="1" applyAlignment="1">
      <alignment vertical="top" wrapText="1"/>
    </xf>
    <xf numFmtId="0" fontId="0" fillId="17" borderId="62" xfId="0" applyFill="1" applyBorder="1" applyAlignment="1">
      <alignment vertical="top" wrapText="1"/>
    </xf>
    <xf numFmtId="0" fontId="0" fillId="17" borderId="63" xfId="0" applyFill="1" applyBorder="1" applyAlignment="1">
      <alignment vertical="top" wrapText="1"/>
    </xf>
    <xf numFmtId="0" fontId="0" fillId="17" borderId="64" xfId="0" applyFill="1" applyBorder="1" applyAlignment="1">
      <alignment vertical="top" wrapText="1"/>
    </xf>
    <xf numFmtId="0" fontId="37" fillId="17" borderId="61" xfId="0" applyFont="1" applyFill="1" applyBorder="1" applyAlignment="1">
      <alignment vertical="top" wrapText="1"/>
    </xf>
    <xf numFmtId="0" fontId="11" fillId="8" borderId="0" xfId="0" applyFont="1" applyFill="1"/>
    <xf numFmtId="0" fontId="11" fillId="21" borderId="0" xfId="0" applyFont="1" applyFill="1"/>
    <xf numFmtId="164" fontId="30" fillId="23" borderId="28" xfId="4" applyFont="1" applyFill="1" applyBorder="1" applyAlignment="1">
      <alignment horizontal="center"/>
    </xf>
    <xf numFmtId="167" fontId="0" fillId="23" borderId="28" xfId="1" applyNumberFormat="1" applyFont="1" applyFill="1" applyBorder="1"/>
    <xf numFmtId="0" fontId="0" fillId="23" borderId="28" xfId="0" applyFill="1" applyBorder="1"/>
    <xf numFmtId="10" fontId="2" fillId="23" borderId="28" xfId="0" applyNumberFormat="1" applyFont="1" applyFill="1" applyBorder="1"/>
    <xf numFmtId="0" fontId="0" fillId="23" borderId="68" xfId="0" applyFill="1" applyBorder="1"/>
    <xf numFmtId="166" fontId="30" fillId="23" borderId="28" xfId="4" applyNumberFormat="1" applyFont="1" applyFill="1" applyBorder="1" applyAlignment="1">
      <alignment horizontal="center"/>
    </xf>
    <xf numFmtId="169" fontId="30" fillId="23" borderId="0" xfId="4" applyNumberFormat="1" applyFont="1" applyFill="1" applyAlignment="1">
      <alignment horizontal="center"/>
    </xf>
    <xf numFmtId="167" fontId="0" fillId="23" borderId="0" xfId="0" applyNumberFormat="1" applyFill="1"/>
    <xf numFmtId="0" fontId="0" fillId="23" borderId="2" xfId="0" applyFill="1" applyBorder="1" applyAlignment="1">
      <alignment vertical="center"/>
    </xf>
    <xf numFmtId="0" fontId="0" fillId="23" borderId="3" xfId="0" applyFill="1" applyBorder="1" applyAlignment="1">
      <alignment vertical="center"/>
    </xf>
    <xf numFmtId="0" fontId="0" fillId="23" borderId="4" xfId="0" applyFill="1" applyBorder="1" applyAlignment="1">
      <alignment vertical="center"/>
    </xf>
    <xf numFmtId="0" fontId="0" fillId="23" borderId="5" xfId="0" applyFill="1" applyBorder="1" applyAlignment="1">
      <alignment vertical="center"/>
    </xf>
    <xf numFmtId="0" fontId="0" fillId="23" borderId="6" xfId="0" applyFill="1" applyBorder="1" applyAlignment="1">
      <alignment vertical="center"/>
    </xf>
    <xf numFmtId="167" fontId="0" fillId="23" borderId="5" xfId="0" applyNumberFormat="1" applyFill="1" applyBorder="1" applyAlignment="1">
      <alignment vertical="center"/>
    </xf>
    <xf numFmtId="9" fontId="0" fillId="23" borderId="6" xfId="0" applyNumberFormat="1" applyFill="1" applyBorder="1" applyAlignment="1">
      <alignment vertical="center"/>
    </xf>
    <xf numFmtId="0" fontId="0" fillId="23" borderId="7" xfId="0" applyFill="1" applyBorder="1" applyAlignment="1">
      <alignment vertical="center"/>
    </xf>
    <xf numFmtId="0" fontId="0" fillId="23" borderId="8" xfId="0" applyFill="1" applyBorder="1" applyAlignment="1">
      <alignment vertical="center"/>
    </xf>
    <xf numFmtId="0" fontId="0" fillId="23" borderId="9" xfId="0" applyFill="1" applyBorder="1" applyAlignment="1">
      <alignment vertical="center"/>
    </xf>
    <xf numFmtId="165" fontId="0" fillId="23" borderId="0" xfId="0" applyNumberFormat="1" applyFill="1" applyAlignment="1">
      <alignment vertical="center"/>
    </xf>
    <xf numFmtId="0" fontId="11" fillId="23" borderId="0" xfId="0" applyFont="1" applyFill="1" applyAlignment="1">
      <alignment wrapText="1"/>
    </xf>
    <xf numFmtId="3" fontId="0" fillId="10" borderId="28" xfId="0" applyNumberFormat="1" applyFill="1" applyBorder="1" applyAlignment="1">
      <alignment horizontal="center"/>
    </xf>
    <xf numFmtId="3" fontId="2" fillId="26" borderId="28" xfId="0" applyNumberFormat="1" applyFont="1" applyFill="1" applyBorder="1" applyAlignment="1">
      <alignment horizontal="center"/>
    </xf>
    <xf numFmtId="3" fontId="2" fillId="12" borderId="28" xfId="0" applyNumberFormat="1" applyFont="1" applyFill="1" applyBorder="1" applyAlignment="1">
      <alignment horizontal="center"/>
    </xf>
    <xf numFmtId="3" fontId="2" fillId="24" borderId="28" xfId="0" applyNumberFormat="1" applyFont="1" applyFill="1" applyBorder="1" applyAlignment="1">
      <alignment horizontal="center"/>
    </xf>
    <xf numFmtId="9" fontId="26" fillId="10" borderId="28" xfId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10" borderId="28" xfId="0" applyFont="1" applyFill="1" applyBorder="1" applyAlignment="1">
      <alignment horizontal="center" vertical="center"/>
    </xf>
    <xf numFmtId="0" fontId="38" fillId="10" borderId="28" xfId="0" applyFont="1" applyFill="1" applyBorder="1" applyAlignment="1">
      <alignment horizontal="center" vertical="center"/>
    </xf>
    <xf numFmtId="0" fontId="38" fillId="10" borderId="2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1" borderId="0" xfId="0" applyFill="1" applyAlignment="1">
      <alignment vertical="center"/>
    </xf>
    <xf numFmtId="0" fontId="2" fillId="39" borderId="0" xfId="0" applyFont="1" applyFill="1"/>
    <xf numFmtId="0" fontId="40" fillId="8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0" fillId="31" borderId="0" xfId="0" applyFill="1" applyAlignment="1">
      <alignment horizontal="center" vertical="center" wrapText="1"/>
    </xf>
    <xf numFmtId="0" fontId="19" fillId="17" borderId="0" xfId="0" applyFont="1" applyFill="1" applyAlignment="1">
      <alignment horizontal="left"/>
    </xf>
    <xf numFmtId="0" fontId="14" fillId="12" borderId="32" xfId="0" applyFont="1" applyFill="1" applyBorder="1" applyAlignment="1">
      <alignment horizontal="center" vertical="center" wrapText="1"/>
    </xf>
    <xf numFmtId="0" fontId="14" fillId="12" borderId="31" xfId="0" applyFont="1" applyFill="1" applyBorder="1" applyAlignment="1">
      <alignment horizontal="center" vertical="center"/>
    </xf>
    <xf numFmtId="0" fontId="14" fillId="12" borderId="33" xfId="0" applyFont="1" applyFill="1" applyBorder="1" applyAlignment="1">
      <alignment horizontal="center" vertical="center"/>
    </xf>
    <xf numFmtId="0" fontId="14" fillId="12" borderId="34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12" borderId="35" xfId="0" applyFont="1" applyFill="1" applyBorder="1" applyAlignment="1">
      <alignment horizontal="center" vertical="center"/>
    </xf>
    <xf numFmtId="0" fontId="14" fillId="12" borderId="36" xfId="0" applyFont="1" applyFill="1" applyBorder="1" applyAlignment="1">
      <alignment horizontal="center" vertical="center"/>
    </xf>
    <xf numFmtId="0" fontId="14" fillId="12" borderId="30" xfId="0" applyFont="1" applyFill="1" applyBorder="1" applyAlignment="1">
      <alignment horizontal="center" vertical="center"/>
    </xf>
    <xf numFmtId="0" fontId="14" fillId="12" borderId="37" xfId="0" applyFont="1" applyFill="1" applyBorder="1" applyAlignment="1">
      <alignment horizontal="center" vertical="center"/>
    </xf>
    <xf numFmtId="0" fontId="2" fillId="24" borderId="38" xfId="0" applyFont="1" applyFill="1" applyBorder="1" applyAlignment="1">
      <alignment horizontal="center" vertical="center" wrapText="1"/>
    </xf>
    <xf numFmtId="0" fontId="2" fillId="24" borderId="39" xfId="0" applyFont="1" applyFill="1" applyBorder="1" applyAlignment="1">
      <alignment horizontal="center" vertical="center"/>
    </xf>
    <xf numFmtId="0" fontId="2" fillId="24" borderId="40" xfId="0" applyFont="1" applyFill="1" applyBorder="1" applyAlignment="1">
      <alignment horizontal="center" vertical="center"/>
    </xf>
    <xf numFmtId="0" fontId="2" fillId="24" borderId="41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4" borderId="42" xfId="0" applyFont="1" applyFill="1" applyBorder="1" applyAlignment="1">
      <alignment horizontal="center" vertical="center"/>
    </xf>
    <xf numFmtId="0" fontId="2" fillId="24" borderId="43" xfId="0" applyFont="1" applyFill="1" applyBorder="1" applyAlignment="1">
      <alignment horizontal="center" vertical="center"/>
    </xf>
    <xf numFmtId="0" fontId="2" fillId="24" borderId="44" xfId="0" applyFont="1" applyFill="1" applyBorder="1" applyAlignment="1">
      <alignment horizontal="center" vertical="center"/>
    </xf>
    <xf numFmtId="0" fontId="2" fillId="24" borderId="45" xfId="0" applyFont="1" applyFill="1" applyBorder="1" applyAlignment="1">
      <alignment horizontal="center" vertical="center"/>
    </xf>
    <xf numFmtId="0" fontId="39" fillId="17" borderId="0" xfId="0" applyFont="1" applyFill="1" applyAlignment="1">
      <alignment horizontal="left" vertical="top"/>
    </xf>
    <xf numFmtId="0" fontId="0" fillId="0" borderId="53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54" xfId="0" applyBorder="1" applyAlignment="1">
      <alignment horizontal="left"/>
    </xf>
    <xf numFmtId="0" fontId="29" fillId="0" borderId="49" xfId="0" applyFont="1" applyBorder="1" applyAlignment="1">
      <alignment horizontal="center"/>
    </xf>
    <xf numFmtId="0" fontId="24" fillId="29" borderId="0" xfId="0" applyFont="1" applyFill="1" applyAlignment="1">
      <alignment horizontal="center" wrapText="1"/>
    </xf>
    <xf numFmtId="0" fontId="23" fillId="0" borderId="0" xfId="0" applyFont="1" applyAlignment="1">
      <alignment horizontal="center"/>
    </xf>
    <xf numFmtId="0" fontId="24" fillId="0" borderId="48" xfId="0" applyFont="1" applyBorder="1" applyAlignment="1">
      <alignment horizontal="left"/>
    </xf>
    <xf numFmtId="0" fontId="24" fillId="0" borderId="49" xfId="0" applyFont="1" applyBorder="1" applyAlignment="1">
      <alignment horizontal="left"/>
    </xf>
    <xf numFmtId="0" fontId="24" fillId="0" borderId="50" xfId="0" applyFont="1" applyBorder="1" applyAlignment="1">
      <alignment horizontal="left"/>
    </xf>
    <xf numFmtId="0" fontId="29" fillId="0" borderId="49" xfId="0" applyFont="1" applyBorder="1" applyAlignment="1">
      <alignment horizontal="right"/>
    </xf>
    <xf numFmtId="0" fontId="0" fillId="0" borderId="53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31" fillId="29" borderId="0" xfId="3" applyFont="1" applyFill="1" applyAlignment="1">
      <alignment horizontal="center" vertical="center"/>
    </xf>
    <xf numFmtId="0" fontId="0" fillId="0" borderId="5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24" fillId="0" borderId="48" xfId="3" applyFont="1" applyBorder="1" applyAlignment="1">
      <alignment horizontal="left"/>
    </xf>
    <xf numFmtId="0" fontId="24" fillId="0" borderId="49" xfId="3" applyFont="1" applyBorder="1" applyAlignment="1">
      <alignment horizontal="left"/>
    </xf>
    <xf numFmtId="0" fontId="24" fillId="0" borderId="50" xfId="3" applyFont="1" applyBorder="1" applyAlignment="1">
      <alignment horizontal="left"/>
    </xf>
    <xf numFmtId="0" fontId="0" fillId="17" borderId="5" xfId="0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2" fillId="23" borderId="0" xfId="3" applyFont="1" applyFill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1" fillId="2" borderId="10" xfId="3" applyFont="1" applyFill="1" applyBorder="1" applyAlignment="1">
      <alignment horizontal="center" vertical="center" textRotation="90"/>
    </xf>
    <xf numFmtId="0" fontId="1" fillId="2" borderId="11" xfId="3" applyFont="1" applyFill="1" applyBorder="1" applyAlignment="1">
      <alignment horizontal="center" vertical="center" textRotation="90"/>
    </xf>
    <xf numFmtId="0" fontId="1" fillId="2" borderId="12" xfId="3" applyFont="1" applyFill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 vertical="center" textRotation="90"/>
    </xf>
    <xf numFmtId="0" fontId="1" fillId="3" borderId="5" xfId="0" applyFont="1" applyFill="1" applyBorder="1" applyAlignment="1">
      <alignment horizontal="center" vertical="center" textRotation="90"/>
    </xf>
    <xf numFmtId="0" fontId="1" fillId="4" borderId="10" xfId="0" applyFont="1" applyFill="1" applyBorder="1" applyAlignment="1">
      <alignment horizontal="center" vertical="center" textRotation="90"/>
    </xf>
    <xf numFmtId="0" fontId="1" fillId="4" borderId="11" xfId="0" applyFont="1" applyFill="1" applyBorder="1" applyAlignment="1">
      <alignment horizontal="center" vertical="center" textRotation="90"/>
    </xf>
    <xf numFmtId="0" fontId="1" fillId="4" borderId="12" xfId="0" applyFont="1" applyFill="1" applyBorder="1" applyAlignment="1">
      <alignment horizontal="center" vertical="center" textRotation="90"/>
    </xf>
    <xf numFmtId="0" fontId="2" fillId="17" borderId="0" xfId="0" applyFont="1" applyFill="1" applyAlignment="1">
      <alignment horizontal="left" vertical="center" wrapText="1"/>
    </xf>
    <xf numFmtId="0" fontId="2" fillId="35" borderId="2" xfId="0" applyFont="1" applyFill="1" applyBorder="1" applyAlignment="1">
      <alignment horizontal="center" vertical="center"/>
    </xf>
    <xf numFmtId="0" fontId="2" fillId="35" borderId="3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left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textRotation="90"/>
    </xf>
    <xf numFmtId="0" fontId="1" fillId="7" borderId="11" xfId="0" applyFont="1" applyFill="1" applyBorder="1" applyAlignment="1">
      <alignment horizontal="center" vertical="center" textRotation="90"/>
    </xf>
    <xf numFmtId="0" fontId="1" fillId="7" borderId="12" xfId="0" applyFont="1" applyFill="1" applyBorder="1" applyAlignment="1">
      <alignment horizontal="center" vertical="center" textRotation="90"/>
    </xf>
    <xf numFmtId="0" fontId="2" fillId="35" borderId="65" xfId="0" applyFont="1" applyFill="1" applyBorder="1" applyAlignment="1">
      <alignment horizontal="center" vertical="center"/>
    </xf>
    <xf numFmtId="0" fontId="2" fillId="35" borderId="66" xfId="0" applyFont="1" applyFill="1" applyBorder="1" applyAlignment="1">
      <alignment horizontal="center" vertical="center"/>
    </xf>
    <xf numFmtId="0" fontId="2" fillId="35" borderId="4" xfId="0" applyFont="1" applyFill="1" applyBorder="1" applyAlignment="1">
      <alignment horizontal="center" vertical="center"/>
    </xf>
    <xf numFmtId="0" fontId="0" fillId="17" borderId="8" xfId="0" applyFill="1" applyBorder="1" applyAlignment="1">
      <alignment horizontal="left" vertical="center"/>
    </xf>
    <xf numFmtId="0" fontId="0" fillId="17" borderId="0" xfId="0" applyFill="1" applyAlignment="1">
      <alignment horizontal="left" vertical="center" wrapText="1"/>
    </xf>
    <xf numFmtId="0" fontId="0" fillId="17" borderId="6" xfId="0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wrapText="1"/>
    </xf>
    <xf numFmtId="0" fontId="7" fillId="0" borderId="13" xfId="0" applyFont="1" applyBorder="1" applyAlignment="1">
      <alignment horizontal="center" vertical="center"/>
    </xf>
    <xf numFmtId="0" fontId="2" fillId="19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 textRotation="90" wrapText="1"/>
    </xf>
    <xf numFmtId="0" fontId="6" fillId="2" borderId="0" xfId="0" applyFont="1" applyFill="1" applyAlignment="1">
      <alignment horizontal="center" vertical="center" textRotation="90" wrapText="1"/>
    </xf>
    <xf numFmtId="0" fontId="6" fillId="4" borderId="0" xfId="0" applyFont="1" applyFill="1" applyAlignment="1">
      <alignment horizontal="center" vertical="center" textRotation="90" wrapText="1"/>
    </xf>
    <xf numFmtId="0" fontId="0" fillId="17" borderId="26" xfId="0" applyFill="1" applyBorder="1" applyAlignment="1">
      <alignment horizontal="center" vertical="center" wrapText="1"/>
    </xf>
    <xf numFmtId="0" fontId="0" fillId="17" borderId="27" xfId="0" applyFill="1" applyBorder="1" applyAlignment="1">
      <alignment horizontal="center" vertical="center" wrapText="1"/>
    </xf>
    <xf numFmtId="0" fontId="0" fillId="17" borderId="25" xfId="0" applyFill="1" applyBorder="1" applyAlignment="1">
      <alignment horizontal="center" vertical="center" wrapText="1"/>
    </xf>
    <xf numFmtId="0" fontId="0" fillId="17" borderId="0" xfId="0" applyFill="1" applyAlignment="1">
      <alignment horizontal="left"/>
    </xf>
    <xf numFmtId="0" fontId="2" fillId="17" borderId="0" xfId="0" applyFont="1" applyFill="1" applyAlignment="1">
      <alignment horizontal="left"/>
    </xf>
    <xf numFmtId="0" fontId="36" fillId="17" borderId="0" xfId="0" applyFont="1" applyFill="1" applyAlignment="1">
      <alignment horizontal="center" wrapText="1"/>
    </xf>
    <xf numFmtId="0" fontId="36" fillId="17" borderId="29" xfId="0" applyFont="1" applyFill="1" applyBorder="1" applyAlignment="1">
      <alignment horizontal="center" wrapText="1"/>
    </xf>
    <xf numFmtId="0" fontId="7" fillId="17" borderId="0" xfId="0" applyFont="1" applyFill="1" applyAlignment="1">
      <alignment horizontal="center"/>
    </xf>
    <xf numFmtId="0" fontId="23" fillId="17" borderId="0" xfId="0" applyFont="1" applyFill="1" applyAlignment="1">
      <alignment horizontal="center"/>
    </xf>
    <xf numFmtId="0" fontId="0" fillId="17" borderId="61" xfId="0" applyFill="1" applyBorder="1" applyAlignment="1">
      <alignment horizontal="left" vertical="top" wrapText="1"/>
    </xf>
    <xf numFmtId="0" fontId="0" fillId="17" borderId="0" xfId="0" applyFill="1" applyAlignment="1">
      <alignment horizontal="left" vertical="top" wrapText="1"/>
    </xf>
    <xf numFmtId="0" fontId="0" fillId="17" borderId="58" xfId="0" applyFill="1" applyBorder="1" applyAlignment="1">
      <alignment horizontal="left" vertical="top" wrapText="1"/>
    </xf>
    <xf numFmtId="0" fontId="37" fillId="17" borderId="61" xfId="0" applyFont="1" applyFill="1" applyBorder="1" applyAlignment="1">
      <alignment horizontal="left" vertical="top" wrapText="1"/>
    </xf>
    <xf numFmtId="0" fontId="37" fillId="17" borderId="0" xfId="0" applyFont="1" applyFill="1" applyAlignment="1">
      <alignment horizontal="left" vertical="top" wrapText="1"/>
    </xf>
    <xf numFmtId="0" fontId="37" fillId="17" borderId="58" xfId="0" applyFont="1" applyFill="1" applyBorder="1" applyAlignment="1">
      <alignment horizontal="left" vertical="top" wrapText="1"/>
    </xf>
    <xf numFmtId="0" fontId="0" fillId="17" borderId="59" xfId="0" quotePrefix="1" applyFill="1" applyBorder="1" applyAlignment="1">
      <alignment horizontal="left" vertical="top" wrapText="1"/>
    </xf>
    <xf numFmtId="0" fontId="0" fillId="17" borderId="57" xfId="0" quotePrefix="1" applyFill="1" applyBorder="1" applyAlignment="1">
      <alignment horizontal="left" vertical="top" wrapText="1"/>
    </xf>
    <xf numFmtId="0" fontId="0" fillId="17" borderId="60" xfId="0" quotePrefix="1" applyFill="1" applyBorder="1" applyAlignment="1">
      <alignment horizontal="left" vertical="top" wrapText="1"/>
    </xf>
    <xf numFmtId="0" fontId="0" fillId="17" borderId="61" xfId="0" quotePrefix="1" applyFill="1" applyBorder="1" applyAlignment="1">
      <alignment horizontal="left" vertical="top" wrapText="1"/>
    </xf>
    <xf numFmtId="0" fontId="0" fillId="17" borderId="0" xfId="0" quotePrefix="1" applyFill="1" applyAlignment="1">
      <alignment horizontal="left" vertical="top" wrapText="1"/>
    </xf>
    <xf numFmtId="0" fontId="0" fillId="17" borderId="58" xfId="0" quotePrefix="1" applyFill="1" applyBorder="1" applyAlignment="1">
      <alignment horizontal="left" vertical="top" wrapText="1"/>
    </xf>
    <xf numFmtId="0" fontId="0" fillId="17" borderId="62" xfId="0" quotePrefix="1" applyFill="1" applyBorder="1" applyAlignment="1">
      <alignment horizontal="left" vertical="top" wrapText="1"/>
    </xf>
    <xf numFmtId="0" fontId="0" fillId="17" borderId="63" xfId="0" quotePrefix="1" applyFill="1" applyBorder="1" applyAlignment="1">
      <alignment horizontal="left" vertical="top" wrapText="1"/>
    </xf>
    <xf numFmtId="0" fontId="0" fillId="17" borderId="64" xfId="0" quotePrefix="1" applyFill="1" applyBorder="1" applyAlignment="1">
      <alignment horizontal="left" vertical="top" wrapText="1"/>
    </xf>
    <xf numFmtId="0" fontId="34" fillId="32" borderId="0" xfId="0" applyFont="1" applyFill="1" applyAlignment="1">
      <alignment horizontal="center" vertical="center"/>
    </xf>
    <xf numFmtId="0" fontId="3" fillId="17" borderId="59" xfId="0" applyFont="1" applyFill="1" applyBorder="1" applyAlignment="1">
      <alignment horizontal="left" vertical="top" wrapText="1"/>
    </xf>
    <xf numFmtId="0" fontId="3" fillId="17" borderId="57" xfId="0" applyFont="1" applyFill="1" applyBorder="1" applyAlignment="1">
      <alignment horizontal="left" vertical="top" wrapText="1"/>
    </xf>
    <xf numFmtId="0" fontId="3" fillId="17" borderId="60" xfId="0" applyFont="1" applyFill="1" applyBorder="1" applyAlignment="1">
      <alignment horizontal="left" vertical="top" wrapText="1"/>
    </xf>
    <xf numFmtId="0" fontId="34" fillId="38" borderId="0" xfId="0" applyFont="1" applyFill="1" applyAlignment="1">
      <alignment horizontal="center" vertical="center" wrapText="1"/>
    </xf>
    <xf numFmtId="0" fontId="0" fillId="37" borderId="0" xfId="0" applyFill="1" applyAlignment="1">
      <alignment horizontal="left"/>
    </xf>
    <xf numFmtId="0" fontId="0" fillId="37" borderId="0" xfId="0" applyFill="1" applyAlignment="1">
      <alignment horizontal="left" vertical="center" wrapText="1"/>
    </xf>
    <xf numFmtId="0" fontId="2" fillId="37" borderId="0" xfId="0" applyFont="1" applyFill="1" applyAlignment="1">
      <alignment horizontal="left" vertical="center" wrapText="1"/>
    </xf>
    <xf numFmtId="0" fontId="34" fillId="38" borderId="0" xfId="0" applyFont="1" applyFill="1" applyAlignment="1">
      <alignment horizontal="center"/>
    </xf>
    <xf numFmtId="0" fontId="0" fillId="37" borderId="0" xfId="0" applyFill="1" applyAlignment="1">
      <alignment horizontal="left" wrapText="1"/>
    </xf>
    <xf numFmtId="0" fontId="0" fillId="17" borderId="57" xfId="0" applyFill="1" applyBorder="1" applyAlignment="1">
      <alignment horizontal="left" vertical="top" wrapText="1"/>
    </xf>
    <xf numFmtId="0" fontId="0" fillId="17" borderId="60" xfId="0" applyFill="1" applyBorder="1" applyAlignment="1">
      <alignment horizontal="left" vertical="top" wrapText="1"/>
    </xf>
    <xf numFmtId="0" fontId="0" fillId="21" borderId="0" xfId="0" applyFill="1" applyAlignment="1">
      <alignment horizontal="center"/>
    </xf>
    <xf numFmtId="0" fontId="1" fillId="30" borderId="0" xfId="0" applyFont="1" applyFill="1" applyAlignment="1">
      <alignment horizontal="center"/>
    </xf>
  </cellXfs>
  <cellStyles count="5">
    <cellStyle name="Comma" xfId="4" builtinId="3"/>
    <cellStyle name="Hyperlink" xfId="3" builtinId="8"/>
    <cellStyle name="Normal" xfId="0" builtinId="0"/>
    <cellStyle name="Normal 2" xfId="2" xr:uid="{DFFE2416-704E-A44B-8FEE-AE01B671DA77}"/>
    <cellStyle name="Percent" xfId="1" builtinId="5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double"/>
        <color rgb="FFC00000"/>
      </font>
      <fill>
        <patternFill>
          <bgColor rgb="FFFFA096"/>
        </patternFill>
      </fill>
    </dxf>
    <dxf>
      <font>
        <b/>
        <i val="0"/>
        <u val="double"/>
        <color rgb="FFC00000"/>
      </font>
      <fill>
        <patternFill>
          <bgColor rgb="FFFFA096"/>
        </patternFill>
      </fill>
    </dxf>
    <dxf>
      <font>
        <b/>
        <i val="0"/>
        <u val="double"/>
        <color rgb="FFC00000"/>
      </font>
      <fill>
        <patternFill>
          <bgColor rgb="FFFFA096"/>
        </patternFill>
      </fill>
    </dxf>
    <dxf>
      <font>
        <b/>
        <i val="0"/>
        <u val="double"/>
        <color rgb="FFC00000"/>
      </font>
      <fill>
        <patternFill>
          <bgColor rgb="FFFFA096"/>
        </patternFill>
      </fill>
    </dxf>
    <dxf>
      <font>
        <b/>
        <i val="0"/>
        <u val="double"/>
        <color rgb="FFC00000"/>
      </font>
      <fill>
        <patternFill>
          <bgColor rgb="FFFFA096"/>
        </patternFill>
      </fill>
    </dxf>
    <dxf>
      <font>
        <color theme="3" tint="-0.499984740745262"/>
      </font>
      <fill>
        <patternFill>
          <bgColor theme="4" tint="0.39994506668294322"/>
        </patternFill>
      </fill>
    </dxf>
    <dxf>
      <font>
        <color theme="0"/>
      </font>
      <fill>
        <patternFill>
          <fgColor theme="3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499984740745262"/>
      </font>
      <fill>
        <patternFill>
          <fgColor theme="8" tint="0.39991454817346722"/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8" tint="-0.24994659260841701"/>
      </font>
    </dxf>
    <dxf>
      <font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</dxf>
    <dxf>
      <font>
        <color theme="9" tint="-0.24994659260841701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</dxfs>
  <tableStyles count="0" defaultTableStyle="TableStyleMedium2" defaultPivotStyle="PivotStyleLight16"/>
  <colors>
    <mruColors>
      <color rgb="FFFFA096"/>
      <color rgb="FF29C2AC"/>
      <color rgb="FFE358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'Patient Funnel'!$B$2:$B$5</c:f>
              <c:strCache>
                <c:ptCount val="4"/>
                <c:pt idx="0">
                  <c:v>No. of patients living with the disease</c:v>
                </c:pt>
                <c:pt idx="1">
                  <c:v>No. of patients diagnosed with the disease</c:v>
                </c:pt>
                <c:pt idx="2">
                  <c:v>No. of Patients treated</c:v>
                </c:pt>
                <c:pt idx="3">
                  <c:v>Target Patients</c:v>
                </c:pt>
              </c:strCache>
            </c:strRef>
          </c:cat>
          <c:val>
            <c:numRef>
              <c:f>'Patient Funnel'!$C$2:$C$5</c:f>
              <c:numCache>
                <c:formatCode>General</c:formatCode>
                <c:ptCount val="4"/>
                <c:pt idx="1">
                  <c:v>200</c:v>
                </c:pt>
                <c:pt idx="2">
                  <c:v>440</c:v>
                </c:pt>
                <c:pt idx="3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B-EE40-9A9B-760FB18D6654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softEdge rad="3175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E3583D"/>
              </a:solidFill>
              <a:ln>
                <a:noFill/>
              </a:ln>
              <a:effectLst>
                <a:softEdge rad="31750"/>
              </a:effectLst>
            </c:spPr>
            <c:extLst>
              <c:ext xmlns:c16="http://schemas.microsoft.com/office/drawing/2014/chart" uri="{C3380CC4-5D6E-409C-BE32-E72D297353CC}">
                <c16:uniqueId val="{00000002-901B-EE40-9A9B-760FB18D6654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>
                <a:softEdge rad="31750"/>
              </a:effectLst>
            </c:spPr>
            <c:extLst>
              <c:ext xmlns:c16="http://schemas.microsoft.com/office/drawing/2014/chart" uri="{C3380CC4-5D6E-409C-BE32-E72D297353CC}">
                <c16:uniqueId val="{00000003-901B-EE40-9A9B-760FB18D6654}"/>
              </c:ext>
            </c:extLst>
          </c:dPt>
          <c:dPt>
            <c:idx val="2"/>
            <c:invertIfNegative val="0"/>
            <c:bubble3D val="0"/>
            <c:spPr>
              <a:solidFill>
                <a:srgbClr val="29C2AC"/>
              </a:solidFill>
              <a:ln>
                <a:noFill/>
              </a:ln>
              <a:effectLst>
                <a:softEdge rad="31750"/>
              </a:effectLst>
            </c:spPr>
            <c:extLst>
              <c:ext xmlns:c16="http://schemas.microsoft.com/office/drawing/2014/chart" uri="{C3380CC4-5D6E-409C-BE32-E72D297353CC}">
                <c16:uniqueId val="{00000004-901B-EE40-9A9B-760FB18D6654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softEdge rad="31750"/>
              </a:effectLst>
            </c:spPr>
            <c:extLst>
              <c:ext xmlns:c16="http://schemas.microsoft.com/office/drawing/2014/chart" uri="{C3380CC4-5D6E-409C-BE32-E72D297353CC}">
                <c16:uniqueId val="{00000005-901B-EE40-9A9B-760FB18D6654}"/>
              </c:ext>
            </c:extLst>
          </c:dPt>
          <c:cat>
            <c:strRef>
              <c:f>'Patient Funnel'!$B$2:$B$5</c:f>
              <c:strCache>
                <c:ptCount val="4"/>
                <c:pt idx="0">
                  <c:v>No. of patients living with the disease</c:v>
                </c:pt>
                <c:pt idx="1">
                  <c:v>No. of patients diagnosed with the disease</c:v>
                </c:pt>
                <c:pt idx="2">
                  <c:v>No. of Patients treated</c:v>
                </c:pt>
                <c:pt idx="3">
                  <c:v>Target Patients</c:v>
                </c:pt>
              </c:strCache>
            </c:strRef>
          </c:cat>
          <c:val>
            <c:numRef>
              <c:f>'Patient Funnel'!$D$2:$D$5</c:f>
              <c:numCache>
                <c:formatCode>General</c:formatCode>
                <c:ptCount val="4"/>
                <c:pt idx="0">
                  <c:v>2000</c:v>
                </c:pt>
                <c:pt idx="1">
                  <c:v>1600</c:v>
                </c:pt>
                <c:pt idx="2">
                  <c:v>1120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B-EE40-9A9B-760FB18D6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60966704"/>
        <c:axId val="1845432479"/>
      </c:barChart>
      <c:catAx>
        <c:axId val="12609667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432479"/>
        <c:crosses val="autoZero"/>
        <c:auto val="1"/>
        <c:lblAlgn val="ctr"/>
        <c:lblOffset val="100"/>
        <c:noMultiLvlLbl val="0"/>
      </c:catAx>
      <c:valAx>
        <c:axId val="184543247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26096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'Leverage Point'!$D$1</c:f>
              <c:strCache>
                <c:ptCount val="1"/>
                <c:pt idx="0">
                  <c:v>Leakage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A5-4C45-B383-66D32946828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3A5-4C45-B383-66D32946828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5-4C45-B383-66D32946828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3A5-4C45-B383-66D32946828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A5-4C45-B383-66D32946828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3A5-4C45-B383-66D32946828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A5-4C45-B383-66D3294682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'Leverage Point'!$A$2:$B$8</c:f>
              <c:multiLvlStrCache>
                <c:ptCount val="7"/>
                <c:lvl>
                  <c:pt idx="0">
                    <c:v>Origination</c:v>
                  </c:pt>
                  <c:pt idx="1">
                    <c:v>Diagnosis</c:v>
                  </c:pt>
                  <c:pt idx="2">
                    <c:v>Treatment Choice</c:v>
                  </c:pt>
                  <c:pt idx="3">
                    <c:v>Class Choice</c:v>
                  </c:pt>
                  <c:pt idx="4">
                    <c:v>Brand Choice</c:v>
                  </c:pt>
                  <c:pt idx="5">
                    <c:v>Fulfilment</c:v>
                  </c:pt>
                  <c:pt idx="6">
                    <c:v>Adherence</c:v>
                  </c:pt>
                </c:lvl>
                <c:lvl>
                  <c:pt idx="0">
                    <c:v>Market Expansion</c:v>
                  </c:pt>
                  <c:pt idx="3">
                    <c:v>Share Penetration</c:v>
                  </c:pt>
                  <c:pt idx="5">
                    <c:v>Share Expansion</c:v>
                  </c:pt>
                </c:lvl>
              </c:multiLvlStrCache>
            </c:multiLvlStrRef>
          </c:cat>
          <c:val>
            <c:numRef>
              <c:f>'Leverage Point'!$D$2:$D$8</c:f>
              <c:numCache>
                <c:formatCode>0%</c:formatCode>
                <c:ptCount val="7"/>
                <c:pt idx="0">
                  <c:v>0.9</c:v>
                </c:pt>
                <c:pt idx="1">
                  <c:v>0.5</c:v>
                </c:pt>
                <c:pt idx="2">
                  <c:v>0.5</c:v>
                </c:pt>
                <c:pt idx="3">
                  <c:v>0.25</c:v>
                </c:pt>
                <c:pt idx="4">
                  <c:v>0.5</c:v>
                </c:pt>
                <c:pt idx="5">
                  <c:v>0.9</c:v>
                </c:pt>
                <c:pt idx="6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5-4C45-B383-66D3294682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980313471"/>
        <c:axId val="817283968"/>
      </c:barChart>
      <c:catAx>
        <c:axId val="9803134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83968"/>
        <c:crosses val="autoZero"/>
        <c:auto val="1"/>
        <c:lblAlgn val="ctr"/>
        <c:lblOffset val="100"/>
        <c:noMultiLvlLbl val="0"/>
      </c:catAx>
      <c:valAx>
        <c:axId val="81728396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98031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C94-0C42-AF4A-C60D1EA850B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94-0C42-AF4A-C60D1EA850BC}"/>
              </c:ext>
            </c:extLst>
          </c:dPt>
          <c:val>
            <c:numRef>
              <c:f>(KSH!$C$2,KSH!$AA$2)</c:f>
              <c:numCache>
                <c:formatCode>0%</c:formatCode>
                <c:ptCount val="2"/>
                <c:pt idx="0">
                  <c:v>0.2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4-0C42-AF4A-C60D1EA85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glow rad="635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DA-8D48-A8D0-67BB45F2A81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DA-8D48-A8D0-67BB45F2A811}"/>
              </c:ext>
            </c:extLst>
          </c:dPt>
          <c:val>
            <c:numRef>
              <c:f>(KSH!$C$3,KSH!$AA$3)</c:f>
              <c:numCache>
                <c:formatCode>0%</c:formatCode>
                <c:ptCount val="2"/>
                <c:pt idx="0">
                  <c:v>0.2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DA-8D48-A8D0-67BB45F2A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99-2B42-9ABB-F1FB76BB577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9-2B42-9ABB-F1FB76BB5771}"/>
              </c:ext>
            </c:extLst>
          </c:dPt>
          <c:val>
            <c:numRef>
              <c:f>(KSH!$C$4,KSH!$AA$4)</c:f>
              <c:numCache>
                <c:formatCode>0%</c:formatCode>
                <c:ptCount val="2"/>
                <c:pt idx="0">
                  <c:v>0.25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99-2B42-9ABB-F1FB76BB5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87-6144-8EC8-F8F157690378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87-6144-8EC8-F8F157690378}"/>
              </c:ext>
            </c:extLst>
          </c:dPt>
          <c:val>
            <c:numRef>
              <c:f>(KSH!$C$5,KSH!$AA$5)</c:f>
              <c:numCache>
                <c:formatCode>0%</c:formatCode>
                <c:ptCount val="2"/>
                <c:pt idx="0">
                  <c:v>0.25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87-6144-8EC8-F8F157690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00-EA47-ABB9-EAB5D936E235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00-EA47-ABB9-EAB5D936E235}"/>
              </c:ext>
            </c:extLst>
          </c:dPt>
          <c:val>
            <c:numRef>
              <c:f>(KSH!$C$6,KSH!$AA$6)</c:f>
              <c:numCache>
                <c:formatCode>0%</c:formatCode>
                <c:ptCount val="2"/>
                <c:pt idx="0">
                  <c:v>0.1</c:v>
                </c:pt>
                <c:pt idx="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00-EA47-ABB9-EAB5D936E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'Top Brand'!$O$8</c:f>
              <c:strCache>
                <c:ptCount val="1"/>
                <c:pt idx="0">
                  <c:v>TENTEX FORTE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Brand'!$P$7:$T$7</c:f>
              <c:strCache>
                <c:ptCount val="5"/>
                <c:pt idx="0">
                  <c:v>DEC 17</c:v>
                </c:pt>
                <c:pt idx="1">
                  <c:v>DEC 18</c:v>
                </c:pt>
                <c:pt idx="2">
                  <c:v>DEC 19</c:v>
                </c:pt>
                <c:pt idx="3">
                  <c:v>DEC 20</c:v>
                </c:pt>
                <c:pt idx="4">
                  <c:v>DEC 21</c:v>
                </c:pt>
              </c:strCache>
            </c:strRef>
          </c:cat>
          <c:val>
            <c:numRef>
              <c:f>'Top Brand'!$P$8:$T$8</c:f>
              <c:numCache>
                <c:formatCode>0.00</c:formatCode>
                <c:ptCount val="5"/>
                <c:pt idx="0">
                  <c:v>15.467838215</c:v>
                </c:pt>
                <c:pt idx="1">
                  <c:v>19.924983355999998</c:v>
                </c:pt>
                <c:pt idx="2">
                  <c:v>21.996632512000001</c:v>
                </c:pt>
                <c:pt idx="3">
                  <c:v>23.650365522000001</c:v>
                </c:pt>
                <c:pt idx="4">
                  <c:v>25.389485348000001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8-0546-A76D-F88789C04C35}"/>
            </c:ext>
          </c:extLst>
        </c:ser>
        <c:ser>
          <c:idx val="1"/>
          <c:order val="1"/>
          <c:tx>
            <c:strRef>
              <c:f>'Top Brand'!$O$9</c:f>
              <c:strCache>
                <c:ptCount val="1"/>
                <c:pt idx="0">
                  <c:v>CONFIDO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'Top Brand'!$P$7:$T$7</c:f>
              <c:strCache>
                <c:ptCount val="5"/>
                <c:pt idx="0">
                  <c:v>DEC 17</c:v>
                </c:pt>
                <c:pt idx="1">
                  <c:v>DEC 18</c:v>
                </c:pt>
                <c:pt idx="2">
                  <c:v>DEC 19</c:v>
                </c:pt>
                <c:pt idx="3">
                  <c:v>DEC 20</c:v>
                </c:pt>
                <c:pt idx="4">
                  <c:v>DEC 21</c:v>
                </c:pt>
              </c:strCache>
            </c:strRef>
          </c:cat>
          <c:val>
            <c:numRef>
              <c:f>'Top Brand'!$P$9:$T$9</c:f>
              <c:numCache>
                <c:formatCode>0.00</c:formatCode>
                <c:ptCount val="5"/>
                <c:pt idx="0">
                  <c:v>15.637279852000001</c:v>
                </c:pt>
                <c:pt idx="1">
                  <c:v>18.031377264</c:v>
                </c:pt>
                <c:pt idx="2">
                  <c:v>18.098489808</c:v>
                </c:pt>
                <c:pt idx="3">
                  <c:v>20.386764641999999</c:v>
                </c:pt>
                <c:pt idx="4">
                  <c:v>21.176620346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8-0546-A76D-F88789C04C35}"/>
            </c:ext>
          </c:extLst>
        </c:ser>
        <c:ser>
          <c:idx val="2"/>
          <c:order val="2"/>
          <c:tx>
            <c:strRef>
              <c:f>'Top Brand'!$O$10</c:f>
              <c:strCache>
                <c:ptCount val="1"/>
                <c:pt idx="0">
                  <c:v>ADDYZOA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'Top Brand'!$P$7:$T$7</c:f>
              <c:strCache>
                <c:ptCount val="5"/>
                <c:pt idx="0">
                  <c:v>DEC 17</c:v>
                </c:pt>
                <c:pt idx="1">
                  <c:v>DEC 18</c:v>
                </c:pt>
                <c:pt idx="2">
                  <c:v>DEC 19</c:v>
                </c:pt>
                <c:pt idx="3">
                  <c:v>DEC 20</c:v>
                </c:pt>
                <c:pt idx="4">
                  <c:v>DEC 21</c:v>
                </c:pt>
              </c:strCache>
            </c:strRef>
          </c:cat>
          <c:val>
            <c:numRef>
              <c:f>'Top Brand'!$P$10:$T$10</c:f>
              <c:numCache>
                <c:formatCode>0.00</c:formatCode>
                <c:ptCount val="5"/>
                <c:pt idx="0">
                  <c:v>10.837601848</c:v>
                </c:pt>
                <c:pt idx="1">
                  <c:v>11.94643892</c:v>
                </c:pt>
                <c:pt idx="2">
                  <c:v>11.564506982999999</c:v>
                </c:pt>
                <c:pt idx="3">
                  <c:v>12.296884581</c:v>
                </c:pt>
                <c:pt idx="4">
                  <c:v>13.049718232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E8-0546-A76D-F88789C04C35}"/>
            </c:ext>
          </c:extLst>
        </c:ser>
        <c:ser>
          <c:idx val="3"/>
          <c:order val="3"/>
          <c:tx>
            <c:strRef>
              <c:f>'Top Brand'!$O$11</c:f>
              <c:strCache>
                <c:ptCount val="1"/>
                <c:pt idx="0">
                  <c:v>HIMCOLIN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'Top Brand'!$P$7:$T$7</c:f>
              <c:strCache>
                <c:ptCount val="5"/>
                <c:pt idx="0">
                  <c:v>DEC 17</c:v>
                </c:pt>
                <c:pt idx="1">
                  <c:v>DEC 18</c:v>
                </c:pt>
                <c:pt idx="2">
                  <c:v>DEC 19</c:v>
                </c:pt>
                <c:pt idx="3">
                  <c:v>DEC 20</c:v>
                </c:pt>
                <c:pt idx="4">
                  <c:v>DEC 21</c:v>
                </c:pt>
              </c:strCache>
            </c:strRef>
          </c:cat>
          <c:val>
            <c:numRef>
              <c:f>'Top Brand'!$P$11:$T$11</c:f>
              <c:numCache>
                <c:formatCode>0.00</c:formatCode>
                <c:ptCount val="5"/>
                <c:pt idx="0">
                  <c:v>6.3444093759999998</c:v>
                </c:pt>
                <c:pt idx="1">
                  <c:v>10.231341768</c:v>
                </c:pt>
                <c:pt idx="2">
                  <c:v>12.178191024</c:v>
                </c:pt>
                <c:pt idx="3">
                  <c:v>10.320914999999999</c:v>
                </c:pt>
                <c:pt idx="4">
                  <c:v>9.6567242409999992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E8-0546-A76D-F88789C04C35}"/>
            </c:ext>
          </c:extLst>
        </c:ser>
        <c:ser>
          <c:idx val="4"/>
          <c:order val="4"/>
          <c:tx>
            <c:strRef>
              <c:f>'Top Brand'!$O$12</c:f>
              <c:strCache>
                <c:ptCount val="1"/>
                <c:pt idx="0">
                  <c:v>SIOTONE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'Top Brand'!$P$7:$T$7</c:f>
              <c:strCache>
                <c:ptCount val="5"/>
                <c:pt idx="0">
                  <c:v>DEC 17</c:v>
                </c:pt>
                <c:pt idx="1">
                  <c:v>DEC 18</c:v>
                </c:pt>
                <c:pt idx="2">
                  <c:v>DEC 19</c:v>
                </c:pt>
                <c:pt idx="3">
                  <c:v>DEC 20</c:v>
                </c:pt>
                <c:pt idx="4">
                  <c:v>DEC 21</c:v>
                </c:pt>
              </c:strCache>
            </c:strRef>
          </c:cat>
          <c:val>
            <c:numRef>
              <c:f>'Top Brand'!$P$12:$T$12</c:f>
              <c:numCache>
                <c:formatCode>0.00</c:formatCode>
                <c:ptCount val="5"/>
                <c:pt idx="0">
                  <c:v>8.9375234159999994</c:v>
                </c:pt>
                <c:pt idx="1">
                  <c:v>8.3246400000000005</c:v>
                </c:pt>
                <c:pt idx="2">
                  <c:v>8.2361710000000006</c:v>
                </c:pt>
                <c:pt idx="3">
                  <c:v>6.394069</c:v>
                </c:pt>
                <c:pt idx="4">
                  <c:v>7.7516611659999999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E8-0546-A76D-F88789C04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44079"/>
        <c:axId val="2050557231"/>
      </c:lineChart>
      <c:catAx>
        <c:axId val="205024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57231"/>
        <c:crosses val="autoZero"/>
        <c:auto val="1"/>
        <c:lblAlgn val="ctr"/>
        <c:lblOffset val="100"/>
        <c:noMultiLvlLbl val="0"/>
      </c:catAx>
      <c:valAx>
        <c:axId val="205055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4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0</xdr:row>
      <xdr:rowOff>25400</xdr:rowOff>
    </xdr:from>
    <xdr:to>
      <xdr:col>18</xdr:col>
      <xdr:colOff>495300</xdr:colOff>
      <xdr:row>25</xdr:row>
      <xdr:rowOff>139700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5C19FBA-3204-1710-7A44-A27B2DFA9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1</xdr:row>
      <xdr:rowOff>124937</xdr:rowOff>
    </xdr:from>
    <xdr:to>
      <xdr:col>2</xdr:col>
      <xdr:colOff>10680700</xdr:colOff>
      <xdr:row>1</xdr:row>
      <xdr:rowOff>899637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3F0632AE-A397-6E57-FBAF-E1489AEC66EE}"/>
            </a:ext>
          </a:extLst>
        </xdr:cNvPr>
        <xdr:cNvSpPr/>
      </xdr:nvSpPr>
      <xdr:spPr>
        <a:xfrm>
          <a:off x="3296356" y="407159"/>
          <a:ext cx="10629900" cy="7747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76200</xdr:colOff>
      <xdr:row>3</xdr:row>
      <xdr:rowOff>152400</xdr:rowOff>
    </xdr:from>
    <xdr:to>
      <xdr:col>2</xdr:col>
      <xdr:colOff>2501900</xdr:colOff>
      <xdr:row>3</xdr:row>
      <xdr:rowOff>673100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6CDA57D7-0D28-4047-B40B-225458C291D7}"/>
            </a:ext>
          </a:extLst>
        </xdr:cNvPr>
        <xdr:cNvSpPr/>
      </xdr:nvSpPr>
      <xdr:spPr>
        <a:xfrm>
          <a:off x="4724400" y="1473200"/>
          <a:ext cx="2425700" cy="5207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2641600</xdr:colOff>
      <xdr:row>3</xdr:row>
      <xdr:rowOff>152400</xdr:rowOff>
    </xdr:from>
    <xdr:to>
      <xdr:col>2</xdr:col>
      <xdr:colOff>5067300</xdr:colOff>
      <xdr:row>3</xdr:row>
      <xdr:rowOff>673100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FEC6123E-21FE-054D-A465-6C4EE4E8CFA6}"/>
            </a:ext>
          </a:extLst>
        </xdr:cNvPr>
        <xdr:cNvSpPr/>
      </xdr:nvSpPr>
      <xdr:spPr>
        <a:xfrm>
          <a:off x="7289800" y="1473200"/>
          <a:ext cx="2425700" cy="5207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5219700</xdr:colOff>
      <xdr:row>3</xdr:row>
      <xdr:rowOff>152400</xdr:rowOff>
    </xdr:from>
    <xdr:to>
      <xdr:col>2</xdr:col>
      <xdr:colOff>7645400</xdr:colOff>
      <xdr:row>3</xdr:row>
      <xdr:rowOff>673100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8908AA06-0CE7-E546-B9B6-3EEC97D98581}"/>
            </a:ext>
          </a:extLst>
        </xdr:cNvPr>
        <xdr:cNvSpPr/>
      </xdr:nvSpPr>
      <xdr:spPr>
        <a:xfrm>
          <a:off x="9867900" y="1473200"/>
          <a:ext cx="2425700" cy="5207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7810500</xdr:colOff>
      <xdr:row>3</xdr:row>
      <xdr:rowOff>152400</xdr:rowOff>
    </xdr:from>
    <xdr:to>
      <xdr:col>2</xdr:col>
      <xdr:colOff>10236200</xdr:colOff>
      <xdr:row>3</xdr:row>
      <xdr:rowOff>673100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D3F2525F-D643-9549-BC85-415763E756E9}"/>
            </a:ext>
          </a:extLst>
        </xdr:cNvPr>
        <xdr:cNvSpPr/>
      </xdr:nvSpPr>
      <xdr:spPr>
        <a:xfrm>
          <a:off x="12458700" y="1473200"/>
          <a:ext cx="2425700" cy="5207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63500</xdr:colOff>
      <xdr:row>5</xdr:row>
      <xdr:rowOff>76200</xdr:rowOff>
    </xdr:from>
    <xdr:to>
      <xdr:col>2</xdr:col>
      <xdr:colOff>2489200</xdr:colOff>
      <xdr:row>5</xdr:row>
      <xdr:rowOff>393700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87C73B40-B8C1-0840-9218-BC01F0AF2109}"/>
            </a:ext>
          </a:extLst>
        </xdr:cNvPr>
        <xdr:cNvSpPr/>
      </xdr:nvSpPr>
      <xdr:spPr>
        <a:xfrm>
          <a:off x="4711700" y="2197100"/>
          <a:ext cx="24257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solidFill>
                <a:schemeClr val="tx1"/>
              </a:solidFill>
            </a:rPr>
            <a:t>Treatment Type</a:t>
          </a:r>
          <a:r>
            <a:rPr lang="en-GB" sz="1100" b="1" baseline="0">
              <a:solidFill>
                <a:schemeClr val="tx1"/>
              </a:solidFill>
            </a:rPr>
            <a:t> 1</a:t>
          </a:r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67733</xdr:colOff>
      <xdr:row>5</xdr:row>
      <xdr:rowOff>529166</xdr:rowOff>
    </xdr:from>
    <xdr:to>
      <xdr:col>2</xdr:col>
      <xdr:colOff>2493433</xdr:colOff>
      <xdr:row>5</xdr:row>
      <xdr:rowOff>1710266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C90FCEE0-4349-0642-B5CF-56D7F1CF1EE9}"/>
            </a:ext>
          </a:extLst>
        </xdr:cNvPr>
        <xdr:cNvSpPr/>
      </xdr:nvSpPr>
      <xdr:spPr>
        <a:xfrm>
          <a:off x="4715933" y="2840566"/>
          <a:ext cx="2425700" cy="11811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2692400</xdr:colOff>
      <xdr:row>5</xdr:row>
      <xdr:rowOff>88900</xdr:rowOff>
    </xdr:from>
    <xdr:to>
      <xdr:col>2</xdr:col>
      <xdr:colOff>5118100</xdr:colOff>
      <xdr:row>5</xdr:row>
      <xdr:rowOff>406400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F3A443AA-8EF1-7C49-89A2-8BDA086C3376}"/>
            </a:ext>
          </a:extLst>
        </xdr:cNvPr>
        <xdr:cNvSpPr/>
      </xdr:nvSpPr>
      <xdr:spPr>
        <a:xfrm>
          <a:off x="7340600" y="2209800"/>
          <a:ext cx="24257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solidFill>
                <a:schemeClr val="tx1"/>
              </a:solidFill>
            </a:rPr>
            <a:t>Treatment Type</a:t>
          </a:r>
          <a:r>
            <a:rPr lang="en-GB" sz="1100" b="1" baseline="0">
              <a:solidFill>
                <a:schemeClr val="tx1"/>
              </a:solidFill>
            </a:rPr>
            <a:t> 2</a:t>
          </a:r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2679700</xdr:colOff>
      <xdr:row>5</xdr:row>
      <xdr:rowOff>520700</xdr:rowOff>
    </xdr:from>
    <xdr:to>
      <xdr:col>2</xdr:col>
      <xdr:colOff>5105400</xdr:colOff>
      <xdr:row>5</xdr:row>
      <xdr:rowOff>1701800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4BE814D8-7B20-1441-AF09-ABD8B5A41018}"/>
            </a:ext>
          </a:extLst>
        </xdr:cNvPr>
        <xdr:cNvSpPr/>
      </xdr:nvSpPr>
      <xdr:spPr>
        <a:xfrm>
          <a:off x="7327900" y="2641600"/>
          <a:ext cx="2425700" cy="11811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5283200</xdr:colOff>
      <xdr:row>5</xdr:row>
      <xdr:rowOff>101600</xdr:rowOff>
    </xdr:from>
    <xdr:to>
      <xdr:col>2</xdr:col>
      <xdr:colOff>7708900</xdr:colOff>
      <xdr:row>5</xdr:row>
      <xdr:rowOff>419100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D96AC420-A7F7-2045-B5A3-178A6291DAB1}"/>
            </a:ext>
          </a:extLst>
        </xdr:cNvPr>
        <xdr:cNvSpPr/>
      </xdr:nvSpPr>
      <xdr:spPr>
        <a:xfrm>
          <a:off x="9931400" y="2222500"/>
          <a:ext cx="24257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solidFill>
                <a:schemeClr val="tx1"/>
              </a:solidFill>
            </a:rPr>
            <a:t>Treatment Type</a:t>
          </a:r>
          <a:r>
            <a:rPr lang="en-GB" sz="1100" b="1" baseline="0">
              <a:solidFill>
                <a:schemeClr val="tx1"/>
              </a:solidFill>
            </a:rPr>
            <a:t> 3</a:t>
          </a:r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5270500</xdr:colOff>
      <xdr:row>5</xdr:row>
      <xdr:rowOff>533400</xdr:rowOff>
    </xdr:from>
    <xdr:to>
      <xdr:col>2</xdr:col>
      <xdr:colOff>7696200</xdr:colOff>
      <xdr:row>5</xdr:row>
      <xdr:rowOff>1714500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4EDF9BBE-B910-D446-A5D1-AA43F61C5593}"/>
            </a:ext>
          </a:extLst>
        </xdr:cNvPr>
        <xdr:cNvSpPr/>
      </xdr:nvSpPr>
      <xdr:spPr>
        <a:xfrm>
          <a:off x="9918700" y="2654300"/>
          <a:ext cx="2425700" cy="11811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7899400</xdr:colOff>
      <xdr:row>5</xdr:row>
      <xdr:rowOff>101600</xdr:rowOff>
    </xdr:from>
    <xdr:to>
      <xdr:col>2</xdr:col>
      <xdr:colOff>10325100</xdr:colOff>
      <xdr:row>5</xdr:row>
      <xdr:rowOff>419100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904A5262-8259-DC4E-A67D-4DEC05E84E40}"/>
            </a:ext>
          </a:extLst>
        </xdr:cNvPr>
        <xdr:cNvSpPr/>
      </xdr:nvSpPr>
      <xdr:spPr>
        <a:xfrm>
          <a:off x="12547600" y="2222500"/>
          <a:ext cx="24257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solidFill>
                <a:schemeClr val="tx1"/>
              </a:solidFill>
            </a:rPr>
            <a:t>Treatment Type</a:t>
          </a:r>
          <a:r>
            <a:rPr lang="en-GB" sz="1100" b="1" baseline="0">
              <a:solidFill>
                <a:schemeClr val="tx1"/>
              </a:solidFill>
            </a:rPr>
            <a:t> 4</a:t>
          </a:r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7886700</xdr:colOff>
      <xdr:row>5</xdr:row>
      <xdr:rowOff>533400</xdr:rowOff>
    </xdr:from>
    <xdr:to>
      <xdr:col>2</xdr:col>
      <xdr:colOff>10312400</xdr:colOff>
      <xdr:row>5</xdr:row>
      <xdr:rowOff>1714500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D22EEEFA-D264-3A4B-9DEA-6975A9D5022A}"/>
            </a:ext>
          </a:extLst>
        </xdr:cNvPr>
        <xdr:cNvSpPr/>
      </xdr:nvSpPr>
      <xdr:spPr>
        <a:xfrm>
          <a:off x="12534900" y="2654300"/>
          <a:ext cx="2425700" cy="11811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139700</xdr:colOff>
      <xdr:row>7</xdr:row>
      <xdr:rowOff>266700</xdr:rowOff>
    </xdr:from>
    <xdr:to>
      <xdr:col>2</xdr:col>
      <xdr:colOff>1574800</xdr:colOff>
      <xdr:row>7</xdr:row>
      <xdr:rowOff>584200</xdr:rowOff>
    </xdr:to>
    <xdr:sp macro="" textlink="'Top Brand'!B6">
      <xdr:nvSpPr>
        <xdr:cNvPr id="15" name="Rounded Rectangle 14">
          <a:extLst>
            <a:ext uri="{FF2B5EF4-FFF2-40B4-BE49-F238E27FC236}">
              <a16:creationId xmlns:a16="http://schemas.microsoft.com/office/drawing/2014/main" id="{E5DE5D11-DCCA-664E-981F-3969208257E8}"/>
            </a:ext>
          </a:extLst>
        </xdr:cNvPr>
        <xdr:cNvSpPr/>
      </xdr:nvSpPr>
      <xdr:spPr>
        <a:xfrm>
          <a:off x="4787900" y="4495800"/>
          <a:ext cx="14351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1E855076-8AF9-5246-9430-E4D3D6BEFBA1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VIRILEX</a:t>
          </a:fld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1765300</xdr:colOff>
      <xdr:row>7</xdr:row>
      <xdr:rowOff>266700</xdr:rowOff>
    </xdr:from>
    <xdr:to>
      <xdr:col>2</xdr:col>
      <xdr:colOff>3200400</xdr:colOff>
      <xdr:row>7</xdr:row>
      <xdr:rowOff>584200</xdr:rowOff>
    </xdr:to>
    <xdr:sp macro="" textlink="'Top Brand'!B8">
      <xdr:nvSpPr>
        <xdr:cNvPr id="16" name="Rounded Rectangle 15">
          <a:extLst>
            <a:ext uri="{FF2B5EF4-FFF2-40B4-BE49-F238E27FC236}">
              <a16:creationId xmlns:a16="http://schemas.microsoft.com/office/drawing/2014/main" id="{E8C97476-277D-F74F-A72B-EA0B5371BF90}"/>
            </a:ext>
          </a:extLst>
        </xdr:cNvPr>
        <xdr:cNvSpPr/>
      </xdr:nvSpPr>
      <xdr:spPr>
        <a:xfrm>
          <a:off x="6413500" y="4495800"/>
          <a:ext cx="14351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1617AA2-D7C5-6247-9E6E-CD53CC79437E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TENTEX FORTE</a:t>
          </a:fld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3403600</xdr:colOff>
      <xdr:row>7</xdr:row>
      <xdr:rowOff>279400</xdr:rowOff>
    </xdr:from>
    <xdr:to>
      <xdr:col>2</xdr:col>
      <xdr:colOff>4838700</xdr:colOff>
      <xdr:row>7</xdr:row>
      <xdr:rowOff>596900</xdr:rowOff>
    </xdr:to>
    <xdr:sp macro="" textlink="'Top Brand'!B9">
      <xdr:nvSpPr>
        <xdr:cNvPr id="17" name="Rounded Rectangle 16">
          <a:extLst>
            <a:ext uri="{FF2B5EF4-FFF2-40B4-BE49-F238E27FC236}">
              <a16:creationId xmlns:a16="http://schemas.microsoft.com/office/drawing/2014/main" id="{C375175A-0330-4A4E-8033-CEAE77536D5C}"/>
            </a:ext>
          </a:extLst>
        </xdr:cNvPr>
        <xdr:cNvSpPr/>
      </xdr:nvSpPr>
      <xdr:spPr>
        <a:xfrm>
          <a:off x="8051800" y="4508500"/>
          <a:ext cx="14351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2D1353F-AFED-9646-A476-B9B6E0B0E07E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CONFIDO</a:t>
          </a:fld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5054600</xdr:colOff>
      <xdr:row>7</xdr:row>
      <xdr:rowOff>279400</xdr:rowOff>
    </xdr:from>
    <xdr:to>
      <xdr:col>2</xdr:col>
      <xdr:colOff>6489700</xdr:colOff>
      <xdr:row>7</xdr:row>
      <xdr:rowOff>596900</xdr:rowOff>
    </xdr:to>
    <xdr:sp macro="" textlink="'Top Brand'!B10">
      <xdr:nvSpPr>
        <xdr:cNvPr id="18" name="Rounded Rectangle 17">
          <a:extLst>
            <a:ext uri="{FF2B5EF4-FFF2-40B4-BE49-F238E27FC236}">
              <a16:creationId xmlns:a16="http://schemas.microsoft.com/office/drawing/2014/main" id="{0361ECB4-E17C-3E4F-9D70-C4F96CE64785}"/>
            </a:ext>
          </a:extLst>
        </xdr:cNvPr>
        <xdr:cNvSpPr/>
      </xdr:nvSpPr>
      <xdr:spPr>
        <a:xfrm>
          <a:off x="9702800" y="4508500"/>
          <a:ext cx="14351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8A595E2-1E40-BB42-A9B0-828D80406055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ADDYZOA</a:t>
          </a:fld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6705600</xdr:colOff>
      <xdr:row>7</xdr:row>
      <xdr:rowOff>279400</xdr:rowOff>
    </xdr:from>
    <xdr:to>
      <xdr:col>2</xdr:col>
      <xdr:colOff>8140700</xdr:colOff>
      <xdr:row>7</xdr:row>
      <xdr:rowOff>596900</xdr:rowOff>
    </xdr:to>
    <xdr:sp macro="" textlink="'Top Brand'!B11">
      <xdr:nvSpPr>
        <xdr:cNvPr id="19" name="Rounded Rectangle 18">
          <a:extLst>
            <a:ext uri="{FF2B5EF4-FFF2-40B4-BE49-F238E27FC236}">
              <a16:creationId xmlns:a16="http://schemas.microsoft.com/office/drawing/2014/main" id="{0BBDBA94-4976-294D-B16C-3E99B231CAB0}"/>
            </a:ext>
          </a:extLst>
        </xdr:cNvPr>
        <xdr:cNvSpPr/>
      </xdr:nvSpPr>
      <xdr:spPr>
        <a:xfrm>
          <a:off x="11353800" y="4508500"/>
          <a:ext cx="14351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65D45AA-5B0E-BB48-BF69-C070EA1A7964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HIMCOLIN</a:t>
          </a:fld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8343900</xdr:colOff>
      <xdr:row>7</xdr:row>
      <xdr:rowOff>279400</xdr:rowOff>
    </xdr:from>
    <xdr:to>
      <xdr:col>2</xdr:col>
      <xdr:colOff>9779000</xdr:colOff>
      <xdr:row>7</xdr:row>
      <xdr:rowOff>596900</xdr:rowOff>
    </xdr:to>
    <xdr:sp macro="" textlink="'Top Brand'!B12">
      <xdr:nvSpPr>
        <xdr:cNvPr id="20" name="Rounded Rectangle 19">
          <a:extLst>
            <a:ext uri="{FF2B5EF4-FFF2-40B4-BE49-F238E27FC236}">
              <a16:creationId xmlns:a16="http://schemas.microsoft.com/office/drawing/2014/main" id="{FA55F85C-146D-2C46-AE26-F4FB4DE6BC2A}"/>
            </a:ext>
          </a:extLst>
        </xdr:cNvPr>
        <xdr:cNvSpPr/>
      </xdr:nvSpPr>
      <xdr:spPr>
        <a:xfrm>
          <a:off x="12992100" y="4508500"/>
          <a:ext cx="14351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E5D6B81-202C-2147-A51F-C9100BED6FE1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SIOTONE</a:t>
          </a:fld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952500</xdr:colOff>
      <xdr:row>9</xdr:row>
      <xdr:rowOff>469900</xdr:rowOff>
    </xdr:from>
    <xdr:to>
      <xdr:col>2</xdr:col>
      <xdr:colOff>3378200</xdr:colOff>
      <xdr:row>9</xdr:row>
      <xdr:rowOff>863600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5DD36190-C19A-AB41-BBF8-CB3AC234E326}"/>
            </a:ext>
          </a:extLst>
        </xdr:cNvPr>
        <xdr:cNvSpPr/>
      </xdr:nvSpPr>
      <xdr:spPr>
        <a:xfrm>
          <a:off x="5600700" y="5740400"/>
          <a:ext cx="2425700" cy="3937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4102100</xdr:colOff>
      <xdr:row>9</xdr:row>
      <xdr:rowOff>469900</xdr:rowOff>
    </xdr:from>
    <xdr:to>
      <xdr:col>2</xdr:col>
      <xdr:colOff>6527800</xdr:colOff>
      <xdr:row>9</xdr:row>
      <xdr:rowOff>863600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FA3BECB1-3C88-CC42-9EEF-19C26611D92D}"/>
            </a:ext>
          </a:extLst>
        </xdr:cNvPr>
        <xdr:cNvSpPr/>
      </xdr:nvSpPr>
      <xdr:spPr>
        <a:xfrm>
          <a:off x="8750300" y="5740400"/>
          <a:ext cx="2425700" cy="3937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7264400</xdr:colOff>
      <xdr:row>9</xdr:row>
      <xdr:rowOff>482600</xdr:rowOff>
    </xdr:from>
    <xdr:to>
      <xdr:col>2</xdr:col>
      <xdr:colOff>9690100</xdr:colOff>
      <xdr:row>9</xdr:row>
      <xdr:rowOff>876300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290CD6A6-A1E4-F647-8E07-EFA1F9DCC8DA}"/>
            </a:ext>
          </a:extLst>
        </xdr:cNvPr>
        <xdr:cNvSpPr/>
      </xdr:nvSpPr>
      <xdr:spPr>
        <a:xfrm>
          <a:off x="11912600" y="5753100"/>
          <a:ext cx="2425700" cy="3937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1460500</xdr:colOff>
      <xdr:row>9</xdr:row>
      <xdr:rowOff>63500</xdr:rowOff>
    </xdr:from>
    <xdr:to>
      <xdr:col>2</xdr:col>
      <xdr:colOff>2895600</xdr:colOff>
      <xdr:row>9</xdr:row>
      <xdr:rowOff>381000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52241845-1048-414C-B799-5A64399A41B2}"/>
            </a:ext>
          </a:extLst>
        </xdr:cNvPr>
        <xdr:cNvSpPr/>
      </xdr:nvSpPr>
      <xdr:spPr>
        <a:xfrm>
          <a:off x="6108700" y="5334000"/>
          <a:ext cx="14351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solidFill>
                <a:schemeClr val="tx1"/>
              </a:solidFill>
            </a:rPr>
            <a:t>Availability</a:t>
          </a:r>
        </a:p>
      </xdr:txBody>
    </xdr:sp>
    <xdr:clientData/>
  </xdr:twoCellAnchor>
  <xdr:twoCellAnchor>
    <xdr:from>
      <xdr:col>2</xdr:col>
      <xdr:colOff>4660900</xdr:colOff>
      <xdr:row>9</xdr:row>
      <xdr:rowOff>50800</xdr:rowOff>
    </xdr:from>
    <xdr:to>
      <xdr:col>2</xdr:col>
      <xdr:colOff>6096000</xdr:colOff>
      <xdr:row>9</xdr:row>
      <xdr:rowOff>368300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63CB4F32-7653-E84F-83A8-261C50670A78}"/>
            </a:ext>
          </a:extLst>
        </xdr:cNvPr>
        <xdr:cNvSpPr/>
      </xdr:nvSpPr>
      <xdr:spPr>
        <a:xfrm>
          <a:off x="9309100" y="5321300"/>
          <a:ext cx="14351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solidFill>
                <a:schemeClr val="tx1"/>
              </a:solidFill>
            </a:rPr>
            <a:t>Affordability</a:t>
          </a:r>
        </a:p>
      </xdr:txBody>
    </xdr:sp>
    <xdr:clientData/>
  </xdr:twoCellAnchor>
  <xdr:twoCellAnchor>
    <xdr:from>
      <xdr:col>2</xdr:col>
      <xdr:colOff>7708900</xdr:colOff>
      <xdr:row>9</xdr:row>
      <xdr:rowOff>50800</xdr:rowOff>
    </xdr:from>
    <xdr:to>
      <xdr:col>2</xdr:col>
      <xdr:colOff>9144000</xdr:colOff>
      <xdr:row>9</xdr:row>
      <xdr:rowOff>368300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F9F155AF-8FAE-B344-A6C7-AA0228D23036}"/>
            </a:ext>
          </a:extLst>
        </xdr:cNvPr>
        <xdr:cNvSpPr/>
      </xdr:nvSpPr>
      <xdr:spPr>
        <a:xfrm>
          <a:off x="12357100" y="5321300"/>
          <a:ext cx="1435100" cy="317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>
              <a:solidFill>
                <a:schemeClr val="tx1"/>
              </a:solidFill>
            </a:rPr>
            <a:t>Adherence</a:t>
          </a:r>
        </a:p>
      </xdr:txBody>
    </xdr:sp>
    <xdr:clientData/>
  </xdr:twoCellAnchor>
  <xdr:twoCellAnchor>
    <xdr:from>
      <xdr:col>2</xdr:col>
      <xdr:colOff>2044700</xdr:colOff>
      <xdr:row>5</xdr:row>
      <xdr:rowOff>38100</xdr:rowOff>
    </xdr:from>
    <xdr:to>
      <xdr:col>2</xdr:col>
      <xdr:colOff>2565400</xdr:colOff>
      <xdr:row>5</xdr:row>
      <xdr:rowOff>342900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75B1D49-9D47-4E13-5B72-6DE512D45275}"/>
            </a:ext>
          </a:extLst>
        </xdr:cNvPr>
        <xdr:cNvSpPr/>
      </xdr:nvSpPr>
      <xdr:spPr>
        <a:xfrm>
          <a:off x="6692900" y="2349500"/>
          <a:ext cx="520700" cy="304800"/>
        </a:xfrm>
        <a:prstGeom prst="ellipse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tx1"/>
              </a:solidFill>
            </a:rPr>
            <a:t>x%</a:t>
          </a:r>
        </a:p>
      </xdr:txBody>
    </xdr:sp>
    <xdr:clientData/>
  </xdr:twoCellAnchor>
  <xdr:twoCellAnchor>
    <xdr:from>
      <xdr:col>2</xdr:col>
      <xdr:colOff>7289800</xdr:colOff>
      <xdr:row>5</xdr:row>
      <xdr:rowOff>50800</xdr:rowOff>
    </xdr:from>
    <xdr:to>
      <xdr:col>2</xdr:col>
      <xdr:colOff>7810500</xdr:colOff>
      <xdr:row>5</xdr:row>
      <xdr:rowOff>355600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76CAE872-F0B6-424C-A1B1-7DCC021F7BAC}"/>
            </a:ext>
          </a:extLst>
        </xdr:cNvPr>
        <xdr:cNvSpPr/>
      </xdr:nvSpPr>
      <xdr:spPr>
        <a:xfrm>
          <a:off x="11938000" y="2362200"/>
          <a:ext cx="520700" cy="304800"/>
        </a:xfrm>
        <a:prstGeom prst="ellipse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tx1"/>
              </a:solidFill>
            </a:rPr>
            <a:t>x%</a:t>
          </a:r>
        </a:p>
      </xdr:txBody>
    </xdr:sp>
    <xdr:clientData/>
  </xdr:twoCellAnchor>
  <xdr:twoCellAnchor>
    <xdr:from>
      <xdr:col>2</xdr:col>
      <xdr:colOff>9944100</xdr:colOff>
      <xdr:row>5</xdr:row>
      <xdr:rowOff>50800</xdr:rowOff>
    </xdr:from>
    <xdr:to>
      <xdr:col>2</xdr:col>
      <xdr:colOff>10464800</xdr:colOff>
      <xdr:row>5</xdr:row>
      <xdr:rowOff>355600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6C5974E-023F-FC41-B662-18EEF117384D}"/>
            </a:ext>
          </a:extLst>
        </xdr:cNvPr>
        <xdr:cNvSpPr/>
      </xdr:nvSpPr>
      <xdr:spPr>
        <a:xfrm>
          <a:off x="14592300" y="2362200"/>
          <a:ext cx="520700" cy="304800"/>
        </a:xfrm>
        <a:prstGeom prst="ellipse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tx1"/>
              </a:solidFill>
            </a:rPr>
            <a:t>x%</a:t>
          </a:r>
        </a:p>
      </xdr:txBody>
    </xdr:sp>
    <xdr:clientData/>
  </xdr:twoCellAnchor>
  <xdr:twoCellAnchor>
    <xdr:from>
      <xdr:col>2</xdr:col>
      <xdr:colOff>4648200</xdr:colOff>
      <xdr:row>5</xdr:row>
      <xdr:rowOff>38100</xdr:rowOff>
    </xdr:from>
    <xdr:to>
      <xdr:col>2</xdr:col>
      <xdr:colOff>5168900</xdr:colOff>
      <xdr:row>5</xdr:row>
      <xdr:rowOff>342900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3B4DB36-4272-E942-8874-E8D402B96D54}"/>
            </a:ext>
          </a:extLst>
        </xdr:cNvPr>
        <xdr:cNvSpPr/>
      </xdr:nvSpPr>
      <xdr:spPr>
        <a:xfrm>
          <a:off x="9296400" y="2349500"/>
          <a:ext cx="520700" cy="304800"/>
        </a:xfrm>
        <a:prstGeom prst="ellipse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tx1"/>
              </a:solidFill>
            </a:rPr>
            <a:t>x%</a:t>
          </a:r>
        </a:p>
      </xdr:txBody>
    </xdr:sp>
    <xdr:clientData/>
  </xdr:twoCellAnchor>
  <xdr:twoCellAnchor>
    <xdr:from>
      <xdr:col>2</xdr:col>
      <xdr:colOff>1117600</xdr:colOff>
      <xdr:row>7</xdr:row>
      <xdr:rowOff>38100</xdr:rowOff>
    </xdr:from>
    <xdr:to>
      <xdr:col>2</xdr:col>
      <xdr:colOff>1638300</xdr:colOff>
      <xdr:row>7</xdr:row>
      <xdr:rowOff>342900</xdr:rowOff>
    </xdr:to>
    <xdr:sp macro="" textlink="'Top Brand'!K6">
      <xdr:nvSpPr>
        <xdr:cNvPr id="31" name="Oval 30">
          <a:extLst>
            <a:ext uri="{FF2B5EF4-FFF2-40B4-BE49-F238E27FC236}">
              <a16:creationId xmlns:a16="http://schemas.microsoft.com/office/drawing/2014/main" id="{2B52C049-A266-AF47-8E38-69CF162F38F3}"/>
            </a:ext>
          </a:extLst>
        </xdr:cNvPr>
        <xdr:cNvSpPr/>
      </xdr:nvSpPr>
      <xdr:spPr>
        <a:xfrm>
          <a:off x="5765800" y="4267200"/>
          <a:ext cx="520700" cy="304800"/>
        </a:xfrm>
        <a:prstGeom prst="ellipse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D639D58-687C-5D43-B60E-F922176F2E93}" type="TxLink">
            <a:rPr lang="en-US" sz="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5%</a:t>
          </a:fld>
          <a:endParaRPr lang="en-GB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6032500</xdr:colOff>
      <xdr:row>7</xdr:row>
      <xdr:rowOff>38100</xdr:rowOff>
    </xdr:from>
    <xdr:to>
      <xdr:col>2</xdr:col>
      <xdr:colOff>6553200</xdr:colOff>
      <xdr:row>7</xdr:row>
      <xdr:rowOff>342900</xdr:rowOff>
    </xdr:to>
    <xdr:sp macro="" textlink="'Top Brand'!K10">
      <xdr:nvSpPr>
        <xdr:cNvPr id="32" name="Oval 31">
          <a:extLst>
            <a:ext uri="{FF2B5EF4-FFF2-40B4-BE49-F238E27FC236}">
              <a16:creationId xmlns:a16="http://schemas.microsoft.com/office/drawing/2014/main" id="{6BFDA0C9-D99F-2E4D-94FB-FA9A803CE42A}"/>
            </a:ext>
          </a:extLst>
        </xdr:cNvPr>
        <xdr:cNvSpPr/>
      </xdr:nvSpPr>
      <xdr:spPr>
        <a:xfrm>
          <a:off x="10680700" y="4267200"/>
          <a:ext cx="520700" cy="304800"/>
        </a:xfrm>
        <a:prstGeom prst="ellipse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4C6C039-515E-6A42-98D3-B25F00694EC4}" type="TxLink">
            <a:rPr lang="en-US" sz="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9%</a:t>
          </a:fld>
          <a:endParaRPr lang="en-GB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4381500</xdr:colOff>
      <xdr:row>7</xdr:row>
      <xdr:rowOff>50800</xdr:rowOff>
    </xdr:from>
    <xdr:to>
      <xdr:col>2</xdr:col>
      <xdr:colOff>4902200</xdr:colOff>
      <xdr:row>7</xdr:row>
      <xdr:rowOff>355600</xdr:rowOff>
    </xdr:to>
    <xdr:sp macro="" textlink="'Top Brand'!K9">
      <xdr:nvSpPr>
        <xdr:cNvPr id="33" name="Oval 32">
          <a:extLst>
            <a:ext uri="{FF2B5EF4-FFF2-40B4-BE49-F238E27FC236}">
              <a16:creationId xmlns:a16="http://schemas.microsoft.com/office/drawing/2014/main" id="{B467EDED-05C4-C648-94C4-418751873D75}"/>
            </a:ext>
          </a:extLst>
        </xdr:cNvPr>
        <xdr:cNvSpPr/>
      </xdr:nvSpPr>
      <xdr:spPr>
        <a:xfrm>
          <a:off x="7627056" y="4479518"/>
          <a:ext cx="520700" cy="304800"/>
        </a:xfrm>
        <a:prstGeom prst="ellipse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320A1CE-0ED1-D646-B3C0-C199368335D8}" type="TxLink">
            <a:rPr lang="en-US" sz="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15%</a:t>
          </a:fld>
          <a:endParaRPr lang="en-GB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2755900</xdr:colOff>
      <xdr:row>7</xdr:row>
      <xdr:rowOff>38100</xdr:rowOff>
    </xdr:from>
    <xdr:to>
      <xdr:col>2</xdr:col>
      <xdr:colOff>3276600</xdr:colOff>
      <xdr:row>7</xdr:row>
      <xdr:rowOff>342900</xdr:rowOff>
    </xdr:to>
    <xdr:sp macro="" textlink="'Top Brand'!K8">
      <xdr:nvSpPr>
        <xdr:cNvPr id="34" name="Oval 33">
          <a:extLst>
            <a:ext uri="{FF2B5EF4-FFF2-40B4-BE49-F238E27FC236}">
              <a16:creationId xmlns:a16="http://schemas.microsoft.com/office/drawing/2014/main" id="{DC120512-2101-734B-B928-B070FEF23FE1}"/>
            </a:ext>
          </a:extLst>
        </xdr:cNvPr>
        <xdr:cNvSpPr/>
      </xdr:nvSpPr>
      <xdr:spPr>
        <a:xfrm>
          <a:off x="6001456" y="4282288"/>
          <a:ext cx="520700" cy="304800"/>
        </a:xfrm>
        <a:prstGeom prst="ellipse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25D8BA6-99D8-1243-B9D7-F53E73046BEC}" type="TxLink">
            <a:rPr lang="en-US" sz="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18%</a:t>
          </a:fld>
          <a:endParaRPr lang="en-GB" sz="7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7759700</xdr:colOff>
      <xdr:row>7</xdr:row>
      <xdr:rowOff>50800</xdr:rowOff>
    </xdr:from>
    <xdr:to>
      <xdr:col>2</xdr:col>
      <xdr:colOff>8280400</xdr:colOff>
      <xdr:row>7</xdr:row>
      <xdr:rowOff>355600</xdr:rowOff>
    </xdr:to>
    <xdr:sp macro="" textlink="'Top Brand'!K11">
      <xdr:nvSpPr>
        <xdr:cNvPr id="35" name="Oval 34">
          <a:extLst>
            <a:ext uri="{FF2B5EF4-FFF2-40B4-BE49-F238E27FC236}">
              <a16:creationId xmlns:a16="http://schemas.microsoft.com/office/drawing/2014/main" id="{22E2FD10-4335-DA43-9933-1C65D7C28800}"/>
            </a:ext>
          </a:extLst>
        </xdr:cNvPr>
        <xdr:cNvSpPr/>
      </xdr:nvSpPr>
      <xdr:spPr>
        <a:xfrm>
          <a:off x="12407900" y="4279900"/>
          <a:ext cx="520700" cy="304800"/>
        </a:xfrm>
        <a:prstGeom prst="ellipse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455C7DC-C1A6-AE48-BE3E-BD6C8D91C9B4}" type="TxLink">
            <a:rPr lang="en-US" sz="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7%</a:t>
          </a:fld>
          <a:endParaRPr lang="en-GB" sz="8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9347200</xdr:colOff>
      <xdr:row>7</xdr:row>
      <xdr:rowOff>50800</xdr:rowOff>
    </xdr:from>
    <xdr:to>
      <xdr:col>2</xdr:col>
      <xdr:colOff>9867900</xdr:colOff>
      <xdr:row>7</xdr:row>
      <xdr:rowOff>355600</xdr:rowOff>
    </xdr:to>
    <xdr:sp macro="" textlink="'Top Brand'!K12">
      <xdr:nvSpPr>
        <xdr:cNvPr id="36" name="Oval 35">
          <a:extLst>
            <a:ext uri="{FF2B5EF4-FFF2-40B4-BE49-F238E27FC236}">
              <a16:creationId xmlns:a16="http://schemas.microsoft.com/office/drawing/2014/main" id="{8193B3A2-8232-AF42-868A-F925EA0ADBDE}"/>
            </a:ext>
          </a:extLst>
        </xdr:cNvPr>
        <xdr:cNvSpPr/>
      </xdr:nvSpPr>
      <xdr:spPr>
        <a:xfrm>
          <a:off x="13995400" y="4279900"/>
          <a:ext cx="520700" cy="304800"/>
        </a:xfrm>
        <a:prstGeom prst="ellipse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29CBBAC-5726-0446-B76C-3A1C6229676C}" type="TxLink">
            <a:rPr lang="en-US" sz="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6%</a:t>
          </a:fld>
          <a:endParaRPr lang="en-GB" sz="8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119238</xdr:colOff>
      <xdr:row>1</xdr:row>
      <xdr:rowOff>34808</xdr:rowOff>
    </xdr:from>
    <xdr:to>
      <xdr:col>15</xdr:col>
      <xdr:colOff>582788</xdr:colOff>
      <xdr:row>8</xdr:row>
      <xdr:rowOff>9408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B990-0034-22D4-28B0-353A60AD2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22280</xdr:colOff>
      <xdr:row>9</xdr:row>
      <xdr:rowOff>22281</xdr:rowOff>
    </xdr:from>
    <xdr:to>
      <xdr:col>5</xdr:col>
      <xdr:colOff>0</xdr:colOff>
      <xdr:row>49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51E6762-B2E9-C805-9437-0C5270FE7272}"/>
            </a:ext>
          </a:extLst>
        </xdr:cNvPr>
        <xdr:cNvSpPr/>
      </xdr:nvSpPr>
      <xdr:spPr>
        <a:xfrm>
          <a:off x="22280" y="4759381"/>
          <a:ext cx="15446320" cy="8296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0</xdr:col>
      <xdr:colOff>584200</xdr:colOff>
      <xdr:row>10</xdr:row>
      <xdr:rowOff>127000</xdr:rowOff>
    </xdr:from>
    <xdr:to>
      <xdr:col>1</xdr:col>
      <xdr:colOff>1371600</xdr:colOff>
      <xdr:row>22</xdr:row>
      <xdr:rowOff>177800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4333F677-8015-9CB4-7E57-EF84CD231838}"/>
            </a:ext>
          </a:extLst>
        </xdr:cNvPr>
        <xdr:cNvGrpSpPr/>
      </xdr:nvGrpSpPr>
      <xdr:grpSpPr>
        <a:xfrm>
          <a:off x="584200" y="5039179"/>
          <a:ext cx="2372633" cy="2418442"/>
          <a:chOff x="495300" y="5067300"/>
          <a:chExt cx="2374900" cy="2489200"/>
        </a:xfrm>
      </xdr:grpSpPr>
      <xdr:sp macro="" textlink="">
        <xdr:nvSpPr>
          <xdr:cNvPr id="6" name="Folded Corner 5">
            <a:extLst>
              <a:ext uri="{FF2B5EF4-FFF2-40B4-BE49-F238E27FC236}">
                <a16:creationId xmlns:a16="http://schemas.microsoft.com/office/drawing/2014/main" id="{107FDA86-4804-3981-C17C-13FDBC21F9FD}"/>
              </a:ext>
            </a:extLst>
          </xdr:cNvPr>
          <xdr:cNvSpPr/>
        </xdr:nvSpPr>
        <xdr:spPr>
          <a:xfrm>
            <a:off x="495300" y="5067300"/>
            <a:ext cx="2374900" cy="2489200"/>
          </a:xfrm>
          <a:prstGeom prst="foldedCorner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00DB4EF-CA8F-DC0F-6D13-9132B9B3B854}"/>
              </a:ext>
            </a:extLst>
          </xdr:cNvPr>
          <xdr:cNvGraphicFramePr>
            <a:graphicFrameLocks noChangeAspect="1"/>
          </xdr:cNvGraphicFramePr>
        </xdr:nvGraphicFramePr>
        <xdr:xfrm>
          <a:off x="970399" y="5146100"/>
          <a:ext cx="1440000" cy="14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absolute">
    <xdr:from>
      <xdr:col>2</xdr:col>
      <xdr:colOff>393700</xdr:colOff>
      <xdr:row>10</xdr:row>
      <xdr:rowOff>127000</xdr:rowOff>
    </xdr:from>
    <xdr:to>
      <xdr:col>3</xdr:col>
      <xdr:colOff>1625600</xdr:colOff>
      <xdr:row>22</xdr:row>
      <xdr:rowOff>177800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6E617202-9407-704B-A8B4-118B308BA16B}"/>
            </a:ext>
          </a:extLst>
        </xdr:cNvPr>
        <xdr:cNvGrpSpPr/>
      </xdr:nvGrpSpPr>
      <xdr:grpSpPr>
        <a:xfrm>
          <a:off x="3564164" y="5039179"/>
          <a:ext cx="2374900" cy="2418442"/>
          <a:chOff x="495300" y="5067300"/>
          <a:chExt cx="2374900" cy="2489200"/>
        </a:xfrm>
      </xdr:grpSpPr>
      <xdr:sp macro="" textlink="">
        <xdr:nvSpPr>
          <xdr:cNvPr id="14" name="Folded Corner 13">
            <a:extLst>
              <a:ext uri="{FF2B5EF4-FFF2-40B4-BE49-F238E27FC236}">
                <a16:creationId xmlns:a16="http://schemas.microsoft.com/office/drawing/2014/main" id="{9D53E209-AF45-9713-C3C5-3034D9BEFD00}"/>
              </a:ext>
            </a:extLst>
          </xdr:cNvPr>
          <xdr:cNvSpPr/>
        </xdr:nvSpPr>
        <xdr:spPr>
          <a:xfrm>
            <a:off x="495300" y="5067300"/>
            <a:ext cx="2374900" cy="2489200"/>
          </a:xfrm>
          <a:prstGeom prst="foldedCorner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0AB993EE-DDF0-3FB9-01BE-74F6623F54D3}"/>
              </a:ext>
            </a:extLst>
          </xdr:cNvPr>
          <xdr:cNvGraphicFramePr>
            <a:graphicFrameLocks noChangeAspect="1"/>
          </xdr:cNvGraphicFramePr>
        </xdr:nvGraphicFramePr>
        <xdr:xfrm>
          <a:off x="970399" y="5146100"/>
          <a:ext cx="1440000" cy="14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3</xdr:col>
      <xdr:colOff>2209800</xdr:colOff>
      <xdr:row>10</xdr:row>
      <xdr:rowOff>127000</xdr:rowOff>
    </xdr:from>
    <xdr:to>
      <xdr:col>4</xdr:col>
      <xdr:colOff>800100</xdr:colOff>
      <xdr:row>22</xdr:row>
      <xdr:rowOff>177800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C0B3F1F-B7BD-FC42-9217-81CBB8205D2D}"/>
            </a:ext>
          </a:extLst>
        </xdr:cNvPr>
        <xdr:cNvGrpSpPr/>
      </xdr:nvGrpSpPr>
      <xdr:grpSpPr>
        <a:xfrm>
          <a:off x="6523264" y="5039179"/>
          <a:ext cx="2379890" cy="2418442"/>
          <a:chOff x="495300" y="5067300"/>
          <a:chExt cx="2374900" cy="2489200"/>
        </a:xfrm>
      </xdr:grpSpPr>
      <xdr:sp macro="" textlink="">
        <xdr:nvSpPr>
          <xdr:cNvPr id="17" name="Folded Corner 16">
            <a:extLst>
              <a:ext uri="{FF2B5EF4-FFF2-40B4-BE49-F238E27FC236}">
                <a16:creationId xmlns:a16="http://schemas.microsoft.com/office/drawing/2014/main" id="{2E45D535-343F-1346-6C1E-8D488A99A9C2}"/>
              </a:ext>
            </a:extLst>
          </xdr:cNvPr>
          <xdr:cNvSpPr/>
        </xdr:nvSpPr>
        <xdr:spPr>
          <a:xfrm>
            <a:off x="495300" y="5067300"/>
            <a:ext cx="2374900" cy="2489200"/>
          </a:xfrm>
          <a:prstGeom prst="foldedCorner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B9EC8832-5A35-52D5-CB37-2DAD3FF7DDFF}"/>
              </a:ext>
            </a:extLst>
          </xdr:cNvPr>
          <xdr:cNvGraphicFramePr>
            <a:graphicFrameLocks noChangeAspect="1"/>
          </xdr:cNvGraphicFramePr>
        </xdr:nvGraphicFramePr>
        <xdr:xfrm>
          <a:off x="970399" y="5146100"/>
          <a:ext cx="1440000" cy="14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absolute">
    <xdr:from>
      <xdr:col>4</xdr:col>
      <xdr:colOff>1270000</xdr:colOff>
      <xdr:row>10</xdr:row>
      <xdr:rowOff>127000</xdr:rowOff>
    </xdr:from>
    <xdr:to>
      <xdr:col>4</xdr:col>
      <xdr:colOff>3644900</xdr:colOff>
      <xdr:row>22</xdr:row>
      <xdr:rowOff>177800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E889B6B6-D0C5-E746-ACF7-3EEFC6F31F90}"/>
            </a:ext>
          </a:extLst>
        </xdr:cNvPr>
        <xdr:cNvGrpSpPr/>
      </xdr:nvGrpSpPr>
      <xdr:grpSpPr>
        <a:xfrm>
          <a:off x="9373054" y="5039179"/>
          <a:ext cx="2374900" cy="2418442"/>
          <a:chOff x="495300" y="5067300"/>
          <a:chExt cx="2374900" cy="2489200"/>
        </a:xfrm>
      </xdr:grpSpPr>
      <xdr:sp macro="" textlink="">
        <xdr:nvSpPr>
          <xdr:cNvPr id="20" name="Folded Corner 19">
            <a:extLst>
              <a:ext uri="{FF2B5EF4-FFF2-40B4-BE49-F238E27FC236}">
                <a16:creationId xmlns:a16="http://schemas.microsoft.com/office/drawing/2014/main" id="{B6C22245-6F99-4192-7D7A-57616106E64B}"/>
              </a:ext>
            </a:extLst>
          </xdr:cNvPr>
          <xdr:cNvSpPr/>
        </xdr:nvSpPr>
        <xdr:spPr>
          <a:xfrm>
            <a:off x="495300" y="5067300"/>
            <a:ext cx="2374900" cy="2489200"/>
          </a:xfrm>
          <a:prstGeom prst="foldedCorner">
            <a:avLst/>
          </a:prstGeom>
          <a:solidFill>
            <a:schemeClr val="accent2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C6FA5505-E6F9-5F03-F02C-08B5C19C01FB}"/>
              </a:ext>
            </a:extLst>
          </xdr:cNvPr>
          <xdr:cNvGraphicFramePr>
            <a:graphicFrameLocks noChangeAspect="1"/>
          </xdr:cNvGraphicFramePr>
        </xdr:nvGraphicFramePr>
        <xdr:xfrm>
          <a:off x="970399" y="5146100"/>
          <a:ext cx="1440000" cy="14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4</xdr:col>
      <xdr:colOff>4216400</xdr:colOff>
      <xdr:row>10</xdr:row>
      <xdr:rowOff>114300</xdr:rowOff>
    </xdr:from>
    <xdr:to>
      <xdr:col>4</xdr:col>
      <xdr:colOff>6591300</xdr:colOff>
      <xdr:row>22</xdr:row>
      <xdr:rowOff>165100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892CBE81-4ABA-8045-A808-C03AB3BF57B3}"/>
            </a:ext>
          </a:extLst>
        </xdr:cNvPr>
        <xdr:cNvGrpSpPr/>
      </xdr:nvGrpSpPr>
      <xdr:grpSpPr>
        <a:xfrm>
          <a:off x="12319454" y="5026479"/>
          <a:ext cx="2374900" cy="2418442"/>
          <a:chOff x="495300" y="5067300"/>
          <a:chExt cx="2374900" cy="2489200"/>
        </a:xfrm>
      </xdr:grpSpPr>
      <xdr:sp macro="" textlink="">
        <xdr:nvSpPr>
          <xdr:cNvPr id="23" name="Folded Corner 22">
            <a:extLst>
              <a:ext uri="{FF2B5EF4-FFF2-40B4-BE49-F238E27FC236}">
                <a16:creationId xmlns:a16="http://schemas.microsoft.com/office/drawing/2014/main" id="{7FA1CCAB-9937-0454-B1B2-D5C8401F1895}"/>
              </a:ext>
            </a:extLst>
          </xdr:cNvPr>
          <xdr:cNvSpPr/>
        </xdr:nvSpPr>
        <xdr:spPr>
          <a:xfrm>
            <a:off x="495300" y="5067300"/>
            <a:ext cx="2374900" cy="2489200"/>
          </a:xfrm>
          <a:prstGeom prst="foldedCorner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AF954A2D-359F-DCF5-89B8-D34453188F6E}"/>
              </a:ext>
            </a:extLst>
          </xdr:cNvPr>
          <xdr:cNvGraphicFramePr>
            <a:graphicFrameLocks noChangeAspect="1"/>
          </xdr:cNvGraphicFramePr>
        </xdr:nvGraphicFramePr>
        <xdr:xfrm>
          <a:off x="970399" y="5146100"/>
          <a:ext cx="1440000" cy="14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0</xdr:col>
      <xdr:colOff>749300</xdr:colOff>
      <xdr:row>19</xdr:row>
      <xdr:rowOff>0</xdr:rowOff>
    </xdr:from>
    <xdr:to>
      <xdr:col>1</xdr:col>
      <xdr:colOff>1181100</xdr:colOff>
      <xdr:row>20</xdr:row>
      <xdr:rowOff>88900</xdr:rowOff>
    </xdr:to>
    <xdr:sp macro="" textlink="$B$2">
      <xdr:nvSpPr>
        <xdr:cNvPr id="26" name="TextBox 25">
          <a:extLst>
            <a:ext uri="{FF2B5EF4-FFF2-40B4-BE49-F238E27FC236}">
              <a16:creationId xmlns:a16="http://schemas.microsoft.com/office/drawing/2014/main" id="{2078E56C-DD13-36A2-7B7A-D1589AED9151}"/>
            </a:ext>
          </a:extLst>
        </xdr:cNvPr>
        <xdr:cNvSpPr txBox="1"/>
      </xdr:nvSpPr>
      <xdr:spPr>
        <a:xfrm>
          <a:off x="749300" y="6769100"/>
          <a:ext cx="20193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D6ED927-D4F7-864A-88FB-295EADEB24A8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Infertile Women</a:t>
          </a:fld>
          <a:endParaRPr lang="en-GB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571500</xdr:colOff>
      <xdr:row>19</xdr:row>
      <xdr:rowOff>12700</xdr:rowOff>
    </xdr:from>
    <xdr:to>
      <xdr:col>3</xdr:col>
      <xdr:colOff>1447800</xdr:colOff>
      <xdr:row>20</xdr:row>
      <xdr:rowOff>101600</xdr:rowOff>
    </xdr:to>
    <xdr:sp macro="" textlink="$B$3">
      <xdr:nvSpPr>
        <xdr:cNvPr id="28" name="TextBox 27">
          <a:extLst>
            <a:ext uri="{FF2B5EF4-FFF2-40B4-BE49-F238E27FC236}">
              <a16:creationId xmlns:a16="http://schemas.microsoft.com/office/drawing/2014/main" id="{A746E10D-6B36-9A46-9376-C42C8B18409C}"/>
            </a:ext>
          </a:extLst>
        </xdr:cNvPr>
        <xdr:cNvSpPr txBox="1"/>
      </xdr:nvSpPr>
      <xdr:spPr>
        <a:xfrm>
          <a:off x="3746500" y="6781800"/>
          <a:ext cx="20193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394CF2B-ADB1-9E43-BCAF-6C1AB3D1A4F3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Gynecologists</a:t>
          </a:fld>
          <a:endParaRPr lang="en-GB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2400300</xdr:colOff>
      <xdr:row>19</xdr:row>
      <xdr:rowOff>76200</xdr:rowOff>
    </xdr:from>
    <xdr:to>
      <xdr:col>4</xdr:col>
      <xdr:colOff>635000</xdr:colOff>
      <xdr:row>20</xdr:row>
      <xdr:rowOff>165100</xdr:rowOff>
    </xdr:to>
    <xdr:sp macro="" textlink="$B$4">
      <xdr:nvSpPr>
        <xdr:cNvPr id="29" name="TextBox 28">
          <a:extLst>
            <a:ext uri="{FF2B5EF4-FFF2-40B4-BE49-F238E27FC236}">
              <a16:creationId xmlns:a16="http://schemas.microsoft.com/office/drawing/2014/main" id="{047E599B-FBD3-FB47-94FE-AE24D9791648}"/>
            </a:ext>
          </a:extLst>
        </xdr:cNvPr>
        <xdr:cNvSpPr txBox="1"/>
      </xdr:nvSpPr>
      <xdr:spPr>
        <a:xfrm>
          <a:off x="6718300" y="6845300"/>
          <a:ext cx="20193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A22E3FD-0EC5-EE40-BE5E-608F7CBFE351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Pharmacies</a:t>
          </a:fld>
          <a:endParaRPr lang="en-GB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1473200</xdr:colOff>
      <xdr:row>19</xdr:row>
      <xdr:rowOff>76200</xdr:rowOff>
    </xdr:from>
    <xdr:to>
      <xdr:col>4</xdr:col>
      <xdr:colOff>3492500</xdr:colOff>
      <xdr:row>20</xdr:row>
      <xdr:rowOff>165100</xdr:rowOff>
    </xdr:to>
    <xdr:sp macro="" textlink="$B$5">
      <xdr:nvSpPr>
        <xdr:cNvPr id="30" name="TextBox 29">
          <a:extLst>
            <a:ext uri="{FF2B5EF4-FFF2-40B4-BE49-F238E27FC236}">
              <a16:creationId xmlns:a16="http://schemas.microsoft.com/office/drawing/2014/main" id="{F5B5ACD6-F3B3-2D40-AF0D-ACFCF519F8CC}"/>
            </a:ext>
          </a:extLst>
        </xdr:cNvPr>
        <xdr:cNvSpPr txBox="1"/>
      </xdr:nvSpPr>
      <xdr:spPr>
        <a:xfrm>
          <a:off x="9575800" y="6845300"/>
          <a:ext cx="20193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DD02614-6480-DA43-A077-26490B6C52DB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Insurance</a:t>
          </a:fld>
          <a:endParaRPr lang="en-GB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4483100</xdr:colOff>
      <xdr:row>19</xdr:row>
      <xdr:rowOff>38100</xdr:rowOff>
    </xdr:from>
    <xdr:to>
      <xdr:col>4</xdr:col>
      <xdr:colOff>6502400</xdr:colOff>
      <xdr:row>20</xdr:row>
      <xdr:rowOff>127000</xdr:rowOff>
    </xdr:to>
    <xdr:sp macro="" textlink="$B$6">
      <xdr:nvSpPr>
        <xdr:cNvPr id="31" name="TextBox 30">
          <a:extLst>
            <a:ext uri="{FF2B5EF4-FFF2-40B4-BE49-F238E27FC236}">
              <a16:creationId xmlns:a16="http://schemas.microsoft.com/office/drawing/2014/main" id="{736FA5F8-C578-9A4A-9A95-25E040A87294}"/>
            </a:ext>
          </a:extLst>
        </xdr:cNvPr>
        <xdr:cNvSpPr txBox="1"/>
      </xdr:nvSpPr>
      <xdr:spPr>
        <a:xfrm>
          <a:off x="12585700" y="6807200"/>
          <a:ext cx="20193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66C32E2-C913-1A46-B1DC-84FF0A7EAA4F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Government</a:t>
          </a:fld>
          <a:endParaRPr lang="en-GB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584200</xdr:colOff>
      <xdr:row>23</xdr:row>
      <xdr:rowOff>25400</xdr:rowOff>
    </xdr:from>
    <xdr:to>
      <xdr:col>0</xdr:col>
      <xdr:colOff>990600</xdr:colOff>
      <xdr:row>24</xdr:row>
      <xdr:rowOff>177800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6CD048A-FCC9-2F8E-16A0-4D0642651D6A}"/>
            </a:ext>
          </a:extLst>
        </xdr:cNvPr>
        <xdr:cNvSpPr txBox="1"/>
      </xdr:nvSpPr>
      <xdr:spPr>
        <a:xfrm>
          <a:off x="584200" y="7607300"/>
          <a:ext cx="4064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chemeClr val="accent6">
                  <a:lumMod val="60000"/>
                  <a:lumOff val="40000"/>
                </a:schemeClr>
              </a:solidFill>
            </a:rPr>
            <a:t>01</a:t>
          </a:r>
        </a:p>
      </xdr:txBody>
    </xdr:sp>
    <xdr:clientData/>
  </xdr:twoCellAnchor>
  <xdr:twoCellAnchor>
    <xdr:from>
      <xdr:col>0</xdr:col>
      <xdr:colOff>876300</xdr:colOff>
      <xdr:row>23</xdr:row>
      <xdr:rowOff>50800</xdr:rowOff>
    </xdr:from>
    <xdr:to>
      <xdr:col>1</xdr:col>
      <xdr:colOff>1054100</xdr:colOff>
      <xdr:row>24</xdr:row>
      <xdr:rowOff>88900</xdr:rowOff>
    </xdr:to>
    <xdr:sp macro="" textlink="$A$2">
      <xdr:nvSpPr>
        <xdr:cNvPr id="34" name="TextBox 33">
          <a:extLst>
            <a:ext uri="{FF2B5EF4-FFF2-40B4-BE49-F238E27FC236}">
              <a16:creationId xmlns:a16="http://schemas.microsoft.com/office/drawing/2014/main" id="{2EA24566-B0F3-E24D-8A27-F936D5CA6F99}"/>
            </a:ext>
          </a:extLst>
        </xdr:cNvPr>
        <xdr:cNvSpPr txBox="1"/>
      </xdr:nvSpPr>
      <xdr:spPr>
        <a:xfrm>
          <a:off x="876300" y="7632700"/>
          <a:ext cx="1765300" cy="241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B0C8330-979F-5646-A683-E2AE279057D3}" type="TxLink">
            <a:rPr lang="en-US" sz="1200" b="1" i="0" u="none" strike="noStrike">
              <a:solidFill>
                <a:schemeClr val="accent6">
                  <a:lumMod val="60000"/>
                  <a:lumOff val="40000"/>
                </a:schemeClr>
              </a:solidFill>
              <a:latin typeface="Calibri"/>
              <a:cs typeface="Calibri"/>
            </a:rPr>
            <a:pPr/>
            <a:t>Patients</a:t>
          </a:fld>
          <a:endParaRPr lang="en-GB" sz="12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2</xdr:col>
      <xdr:colOff>368300</xdr:colOff>
      <xdr:row>23</xdr:row>
      <xdr:rowOff>0</xdr:rowOff>
    </xdr:from>
    <xdr:to>
      <xdr:col>2</xdr:col>
      <xdr:colOff>774700</xdr:colOff>
      <xdr:row>24</xdr:row>
      <xdr:rowOff>152400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D3E62C1-40E1-9F43-9FCB-C2F8F686DE35}"/>
            </a:ext>
          </a:extLst>
        </xdr:cNvPr>
        <xdr:cNvSpPr txBox="1"/>
      </xdr:nvSpPr>
      <xdr:spPr>
        <a:xfrm>
          <a:off x="3543300" y="7581900"/>
          <a:ext cx="4064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chemeClr val="accent5">
                  <a:lumMod val="60000"/>
                  <a:lumOff val="40000"/>
                </a:schemeClr>
              </a:solidFill>
            </a:rPr>
            <a:t>02</a:t>
          </a:r>
        </a:p>
      </xdr:txBody>
    </xdr:sp>
    <xdr:clientData/>
  </xdr:twoCellAnchor>
  <xdr:twoCellAnchor>
    <xdr:from>
      <xdr:col>2</xdr:col>
      <xdr:colOff>660400</xdr:colOff>
      <xdr:row>23</xdr:row>
      <xdr:rowOff>25400</xdr:rowOff>
    </xdr:from>
    <xdr:to>
      <xdr:col>3</xdr:col>
      <xdr:colOff>1257300</xdr:colOff>
      <xdr:row>24</xdr:row>
      <xdr:rowOff>63500</xdr:rowOff>
    </xdr:to>
    <xdr:sp macro="" textlink="$A$3">
      <xdr:nvSpPr>
        <xdr:cNvPr id="36" name="TextBox 35">
          <a:extLst>
            <a:ext uri="{FF2B5EF4-FFF2-40B4-BE49-F238E27FC236}">
              <a16:creationId xmlns:a16="http://schemas.microsoft.com/office/drawing/2014/main" id="{CA62C08E-EB89-F342-93A0-F7633DC8BECE}"/>
            </a:ext>
          </a:extLst>
        </xdr:cNvPr>
        <xdr:cNvSpPr txBox="1"/>
      </xdr:nvSpPr>
      <xdr:spPr>
        <a:xfrm>
          <a:off x="3835400" y="7607300"/>
          <a:ext cx="1739900" cy="241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B6CB38E-C976-9F48-8AE5-5FA53C441B07}" type="TxLink">
            <a:rPr lang="en-US" sz="1200" b="1" i="0" u="none" strike="noStrike">
              <a:solidFill>
                <a:schemeClr val="accent5">
                  <a:lumMod val="60000"/>
                  <a:lumOff val="40000"/>
                </a:schemeClr>
              </a:solidFill>
              <a:latin typeface="Calibri"/>
              <a:cs typeface="Calibri"/>
            </a:rPr>
            <a:pPr/>
            <a:t>Professionals</a:t>
          </a:fld>
          <a:endParaRPr lang="en-GB" sz="1200" b="1">
            <a:solidFill>
              <a:schemeClr val="accent5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3</xdr:col>
      <xdr:colOff>2197100</xdr:colOff>
      <xdr:row>23</xdr:row>
      <xdr:rowOff>25400</xdr:rowOff>
    </xdr:from>
    <xdr:to>
      <xdr:col>3</xdr:col>
      <xdr:colOff>2603500</xdr:colOff>
      <xdr:row>24</xdr:row>
      <xdr:rowOff>177800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DB6318A-C965-FB49-92A0-1C250D8F92E8}"/>
            </a:ext>
          </a:extLst>
        </xdr:cNvPr>
        <xdr:cNvSpPr txBox="1"/>
      </xdr:nvSpPr>
      <xdr:spPr>
        <a:xfrm>
          <a:off x="6515100" y="7607300"/>
          <a:ext cx="4064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chemeClr val="accent4">
                  <a:lumMod val="60000"/>
                  <a:lumOff val="40000"/>
                </a:schemeClr>
              </a:solidFill>
            </a:rPr>
            <a:t>03</a:t>
          </a:r>
        </a:p>
      </xdr:txBody>
    </xdr:sp>
    <xdr:clientData/>
  </xdr:twoCellAnchor>
  <xdr:twoCellAnchor>
    <xdr:from>
      <xdr:col>3</xdr:col>
      <xdr:colOff>2489200</xdr:colOff>
      <xdr:row>23</xdr:row>
      <xdr:rowOff>50800</xdr:rowOff>
    </xdr:from>
    <xdr:to>
      <xdr:col>4</xdr:col>
      <xdr:colOff>685800</xdr:colOff>
      <xdr:row>24</xdr:row>
      <xdr:rowOff>101600</xdr:rowOff>
    </xdr:to>
    <xdr:sp macro="" textlink="$A$4">
      <xdr:nvSpPr>
        <xdr:cNvPr id="38" name="TextBox 37">
          <a:extLst>
            <a:ext uri="{FF2B5EF4-FFF2-40B4-BE49-F238E27FC236}">
              <a16:creationId xmlns:a16="http://schemas.microsoft.com/office/drawing/2014/main" id="{3B6C1B28-3A65-234E-9406-48B475C292BB}"/>
            </a:ext>
          </a:extLst>
        </xdr:cNvPr>
        <xdr:cNvSpPr txBox="1"/>
      </xdr:nvSpPr>
      <xdr:spPr>
        <a:xfrm>
          <a:off x="6807200" y="7632700"/>
          <a:ext cx="1981200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A7341F-04F6-1949-B428-3E855992DF85}" type="TxLink">
            <a:rPr lang="en-US" sz="1200" b="1" i="0" u="none" strike="noStrike">
              <a:solidFill>
                <a:schemeClr val="accent4">
                  <a:lumMod val="60000"/>
                  <a:lumOff val="40000"/>
                </a:schemeClr>
              </a:solidFill>
              <a:latin typeface="Calibri"/>
              <a:cs typeface="Calibri"/>
            </a:rPr>
            <a:pPr/>
            <a:t>Providers/Hospitals</a:t>
          </a:fld>
          <a:endParaRPr lang="en-GB" sz="1200" b="1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4</xdr:col>
      <xdr:colOff>1282700</xdr:colOff>
      <xdr:row>23</xdr:row>
      <xdr:rowOff>25400</xdr:rowOff>
    </xdr:from>
    <xdr:to>
      <xdr:col>4</xdr:col>
      <xdr:colOff>1689100</xdr:colOff>
      <xdr:row>24</xdr:row>
      <xdr:rowOff>177800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EBF10CA-68F7-8547-B94E-2E0FA93EDF55}"/>
            </a:ext>
          </a:extLst>
        </xdr:cNvPr>
        <xdr:cNvSpPr txBox="1"/>
      </xdr:nvSpPr>
      <xdr:spPr>
        <a:xfrm>
          <a:off x="9385300" y="7607300"/>
          <a:ext cx="4064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chemeClr val="accent2">
                  <a:lumMod val="60000"/>
                  <a:lumOff val="40000"/>
                </a:schemeClr>
              </a:solidFill>
            </a:rPr>
            <a:t>04</a:t>
          </a:r>
        </a:p>
      </xdr:txBody>
    </xdr:sp>
    <xdr:clientData/>
  </xdr:twoCellAnchor>
  <xdr:twoCellAnchor>
    <xdr:from>
      <xdr:col>4</xdr:col>
      <xdr:colOff>1574800</xdr:colOff>
      <xdr:row>23</xdr:row>
      <xdr:rowOff>50799</xdr:rowOff>
    </xdr:from>
    <xdr:to>
      <xdr:col>4</xdr:col>
      <xdr:colOff>3390900</xdr:colOff>
      <xdr:row>24</xdr:row>
      <xdr:rowOff>125742</xdr:rowOff>
    </xdr:to>
    <xdr:sp macro="" textlink="$A$5">
      <xdr:nvSpPr>
        <xdr:cNvPr id="40" name="TextBox 39">
          <a:extLst>
            <a:ext uri="{FF2B5EF4-FFF2-40B4-BE49-F238E27FC236}">
              <a16:creationId xmlns:a16="http://schemas.microsoft.com/office/drawing/2014/main" id="{B01AAA4F-97A9-5D42-8044-BA9EF928B406}"/>
            </a:ext>
          </a:extLst>
        </xdr:cNvPr>
        <xdr:cNvSpPr txBox="1"/>
      </xdr:nvSpPr>
      <xdr:spPr>
        <a:xfrm>
          <a:off x="9672622" y="7620502"/>
          <a:ext cx="1816100" cy="2761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5CE7B42-C105-6040-95DB-3E00F16A826E}" type="TxLink">
            <a:rPr lang="en-US" sz="12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alibri"/>
              <a:cs typeface="Calibri"/>
            </a:rPr>
            <a:pPr/>
            <a:t>Payer/Self-Pay Families</a:t>
          </a:fld>
          <a:endParaRPr lang="en-GB" sz="1200" b="1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4</xdr:col>
      <xdr:colOff>4179557</xdr:colOff>
      <xdr:row>23</xdr:row>
      <xdr:rowOff>12449</xdr:rowOff>
    </xdr:from>
    <xdr:to>
      <xdr:col>4</xdr:col>
      <xdr:colOff>4585957</xdr:colOff>
      <xdr:row>24</xdr:row>
      <xdr:rowOff>164849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2AC424B-F790-A24A-8AA6-361B4DDAE7D2}"/>
            </a:ext>
          </a:extLst>
        </xdr:cNvPr>
        <xdr:cNvSpPr txBox="1"/>
      </xdr:nvSpPr>
      <xdr:spPr>
        <a:xfrm>
          <a:off x="12277379" y="7582152"/>
          <a:ext cx="406400" cy="3535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chemeClr val="accent1">
                  <a:lumMod val="60000"/>
                  <a:lumOff val="40000"/>
                </a:schemeClr>
              </a:solidFill>
            </a:rPr>
            <a:t>05</a:t>
          </a:r>
        </a:p>
      </xdr:txBody>
    </xdr:sp>
    <xdr:clientData/>
  </xdr:twoCellAnchor>
  <xdr:twoCellAnchor>
    <xdr:from>
      <xdr:col>4</xdr:col>
      <xdr:colOff>4471657</xdr:colOff>
      <xdr:row>23</xdr:row>
      <xdr:rowOff>37848</xdr:rowOff>
    </xdr:from>
    <xdr:to>
      <xdr:col>4</xdr:col>
      <xdr:colOff>6287757</xdr:colOff>
      <xdr:row>24</xdr:row>
      <xdr:rowOff>112791</xdr:rowOff>
    </xdr:to>
    <xdr:sp macro="" textlink="$A$6">
      <xdr:nvSpPr>
        <xdr:cNvPr id="42" name="TextBox 41">
          <a:extLst>
            <a:ext uri="{FF2B5EF4-FFF2-40B4-BE49-F238E27FC236}">
              <a16:creationId xmlns:a16="http://schemas.microsoft.com/office/drawing/2014/main" id="{9741EF52-BC7F-D841-ADA5-C8B995CDE5BE}"/>
            </a:ext>
          </a:extLst>
        </xdr:cNvPr>
        <xdr:cNvSpPr txBox="1"/>
      </xdr:nvSpPr>
      <xdr:spPr>
        <a:xfrm>
          <a:off x="12569479" y="7607551"/>
          <a:ext cx="1816100" cy="2761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ED9168D-2B25-9441-B71F-75365D31C888}" type="TxLink">
            <a:rPr lang="en-US" sz="1200" b="1" i="0" u="none" strike="noStrike">
              <a:solidFill>
                <a:schemeClr val="accent1">
                  <a:lumMod val="60000"/>
                  <a:lumOff val="40000"/>
                </a:schemeClr>
              </a:solidFill>
              <a:latin typeface="Calibri"/>
              <a:cs typeface="Calibri"/>
            </a:rPr>
            <a:pPr/>
            <a:t>Policy Makers</a:t>
          </a:fld>
          <a:endParaRPr lang="en-GB" sz="1200" b="1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0</xdr:col>
      <xdr:colOff>628714</xdr:colOff>
      <xdr:row>24</xdr:row>
      <xdr:rowOff>118533</xdr:rowOff>
    </xdr:from>
    <xdr:to>
      <xdr:col>1</xdr:col>
      <xdr:colOff>1219704</xdr:colOff>
      <xdr:row>47</xdr:row>
      <xdr:rowOff>15927</xdr:rowOff>
    </xdr:to>
    <xdr:sp macro="" textlink="$E$2">
      <xdr:nvSpPr>
        <xdr:cNvPr id="43" name="TextBox 42">
          <a:extLst>
            <a:ext uri="{FF2B5EF4-FFF2-40B4-BE49-F238E27FC236}">
              <a16:creationId xmlns:a16="http://schemas.microsoft.com/office/drawing/2014/main" id="{8079B2D2-5800-D9F5-2A54-0EE1D0BC11F3}"/>
            </a:ext>
          </a:extLst>
        </xdr:cNvPr>
        <xdr:cNvSpPr txBox="1"/>
      </xdr:nvSpPr>
      <xdr:spPr>
        <a:xfrm>
          <a:off x="628714" y="7907866"/>
          <a:ext cx="2182723" cy="45709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49881E3-58E5-4644-AD1D-68DAFA119BE2}" type="TxLink">
            <a:rPr lang="en-US" sz="12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</a:t>
          </a:fld>
          <a:endParaRPr lang="en-GB" sz="1100"/>
        </a:p>
      </xdr:txBody>
    </xdr:sp>
    <xdr:clientData/>
  </xdr:twoCellAnchor>
  <xdr:twoCellAnchor>
    <xdr:from>
      <xdr:col>2</xdr:col>
      <xdr:colOff>429034</xdr:colOff>
      <xdr:row>25</xdr:row>
      <xdr:rowOff>26657</xdr:rowOff>
    </xdr:from>
    <xdr:to>
      <xdr:col>3</xdr:col>
      <xdr:colOff>1460123</xdr:colOff>
      <xdr:row>47</xdr:row>
      <xdr:rowOff>127251</xdr:rowOff>
    </xdr:to>
    <xdr:sp macro="" textlink="$E$2">
      <xdr:nvSpPr>
        <xdr:cNvPr id="44" name="TextBox 43">
          <a:extLst>
            <a:ext uri="{FF2B5EF4-FFF2-40B4-BE49-F238E27FC236}">
              <a16:creationId xmlns:a16="http://schemas.microsoft.com/office/drawing/2014/main" id="{8D9BAE10-2506-444E-AB5E-368CB5FAE0D0}"/>
            </a:ext>
          </a:extLst>
        </xdr:cNvPr>
        <xdr:cNvSpPr txBox="1"/>
      </xdr:nvSpPr>
      <xdr:spPr>
        <a:xfrm>
          <a:off x="3597747" y="7998736"/>
          <a:ext cx="2175346" cy="4526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49881E3-58E5-4644-AD1D-68DAFA119BE2}" type="TxLink">
            <a:rPr lang="en-US" sz="12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</a:t>
          </a:fld>
          <a:endParaRPr lang="en-GB" sz="1100"/>
        </a:p>
      </xdr:txBody>
    </xdr:sp>
    <xdr:clientData/>
  </xdr:twoCellAnchor>
  <xdr:twoCellAnchor>
    <xdr:from>
      <xdr:col>3</xdr:col>
      <xdr:colOff>2291533</xdr:colOff>
      <xdr:row>25</xdr:row>
      <xdr:rowOff>28166</xdr:rowOff>
    </xdr:from>
    <xdr:to>
      <xdr:col>4</xdr:col>
      <xdr:colOff>682027</xdr:colOff>
      <xdr:row>47</xdr:row>
      <xdr:rowOff>128760</xdr:rowOff>
    </xdr:to>
    <xdr:sp macro="" textlink="$E$2">
      <xdr:nvSpPr>
        <xdr:cNvPr id="45" name="TextBox 44">
          <a:extLst>
            <a:ext uri="{FF2B5EF4-FFF2-40B4-BE49-F238E27FC236}">
              <a16:creationId xmlns:a16="http://schemas.microsoft.com/office/drawing/2014/main" id="{823E275D-B9A2-CD46-B437-2336727760FC}"/>
            </a:ext>
          </a:extLst>
        </xdr:cNvPr>
        <xdr:cNvSpPr txBox="1"/>
      </xdr:nvSpPr>
      <xdr:spPr>
        <a:xfrm>
          <a:off x="6604503" y="8000245"/>
          <a:ext cx="2175346" cy="4526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49881E3-58E5-4644-AD1D-68DAFA119BE2}" type="TxLink">
            <a:rPr lang="en-US" sz="12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</a:t>
          </a:fld>
          <a:endParaRPr lang="en-GB" sz="1100"/>
        </a:p>
      </xdr:txBody>
    </xdr:sp>
    <xdr:clientData/>
  </xdr:twoCellAnchor>
  <xdr:twoCellAnchor>
    <xdr:from>
      <xdr:col>4</xdr:col>
      <xdr:colOff>1375121</xdr:colOff>
      <xdr:row>25</xdr:row>
      <xdr:rowOff>29675</xdr:rowOff>
    </xdr:from>
    <xdr:to>
      <xdr:col>4</xdr:col>
      <xdr:colOff>3550467</xdr:colOff>
      <xdr:row>47</xdr:row>
      <xdr:rowOff>130269</xdr:rowOff>
    </xdr:to>
    <xdr:sp macro="" textlink="$E$2">
      <xdr:nvSpPr>
        <xdr:cNvPr id="46" name="TextBox 45">
          <a:extLst>
            <a:ext uri="{FF2B5EF4-FFF2-40B4-BE49-F238E27FC236}">
              <a16:creationId xmlns:a16="http://schemas.microsoft.com/office/drawing/2014/main" id="{B2FFD282-9C19-C543-AAC7-664550A302B0}"/>
            </a:ext>
          </a:extLst>
        </xdr:cNvPr>
        <xdr:cNvSpPr txBox="1"/>
      </xdr:nvSpPr>
      <xdr:spPr>
        <a:xfrm>
          <a:off x="9472943" y="8001754"/>
          <a:ext cx="2175346" cy="4526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49881E3-58E5-4644-AD1D-68DAFA119BE2}" type="TxLink">
            <a:rPr lang="en-US" sz="12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</a:t>
          </a:fld>
          <a:endParaRPr lang="en-GB" sz="1100"/>
        </a:p>
      </xdr:txBody>
    </xdr:sp>
    <xdr:clientData/>
  </xdr:twoCellAnchor>
  <xdr:twoCellAnchor>
    <xdr:from>
      <xdr:col>4</xdr:col>
      <xdr:colOff>4268709</xdr:colOff>
      <xdr:row>25</xdr:row>
      <xdr:rowOff>31184</xdr:rowOff>
    </xdr:from>
    <xdr:to>
      <xdr:col>4</xdr:col>
      <xdr:colOff>6444055</xdr:colOff>
      <xdr:row>47</xdr:row>
      <xdr:rowOff>131778</xdr:rowOff>
    </xdr:to>
    <xdr:sp macro="" textlink="$E$2">
      <xdr:nvSpPr>
        <xdr:cNvPr id="47" name="TextBox 46">
          <a:extLst>
            <a:ext uri="{FF2B5EF4-FFF2-40B4-BE49-F238E27FC236}">
              <a16:creationId xmlns:a16="http://schemas.microsoft.com/office/drawing/2014/main" id="{C8342CE4-CB98-CD49-82AD-C3D141FA9724}"/>
            </a:ext>
          </a:extLst>
        </xdr:cNvPr>
        <xdr:cNvSpPr txBox="1"/>
      </xdr:nvSpPr>
      <xdr:spPr>
        <a:xfrm>
          <a:off x="12366531" y="8003263"/>
          <a:ext cx="2175346" cy="4526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49881E3-58E5-4644-AD1D-68DAFA119BE2}" type="TxLink">
            <a:rPr lang="en-US" sz="12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</a:t>
          </a:fld>
          <a:endParaRPr lang="en-GB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0.19668</cdr:x>
      <cdr:y>0.19521</cdr:y>
    </cdr:from>
    <cdr:to>
      <cdr:x>0.81986</cdr:x>
      <cdr:y>0.8184</cdr:y>
    </cdr:to>
    <cdr:sp macro="" textlink="KSH!$C$2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1D97C1A6-BFA9-26C2-46C5-278EB3A008C0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>
          <a:off x="283213" y="281108"/>
          <a:ext cx="897392" cy="897392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glow rad="63500">
            <a:schemeClr val="accent3">
              <a:satMod val="175000"/>
              <a:alpha val="40000"/>
            </a:schemeClr>
          </a:glo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BA5C7DA9-F2DB-5745-B9EA-3C55D2301D1F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20%</a:t>
          </a:fld>
          <a:endParaRPr lang="en-US" b="1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0.19668</cdr:x>
      <cdr:y>0.19521</cdr:y>
    </cdr:from>
    <cdr:to>
      <cdr:x>0.81986</cdr:x>
      <cdr:y>0.8184</cdr:y>
    </cdr:to>
    <cdr:sp macro="" textlink="KSH!$C$3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1D97C1A6-BFA9-26C2-46C5-278EB3A008C0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>
          <a:off x="283213" y="281108"/>
          <a:ext cx="897392" cy="897392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glow rad="63500">
            <a:schemeClr val="accent3">
              <a:satMod val="175000"/>
              <a:alpha val="40000"/>
            </a:schemeClr>
          </a:glo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672BB01D-90DA-FA43-B2D0-2EBF7C45E24C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20%</a:t>
          </a:fld>
          <a:endParaRPr lang="en-US" b="1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0.19668</cdr:x>
      <cdr:y>0.19521</cdr:y>
    </cdr:from>
    <cdr:to>
      <cdr:x>0.81986</cdr:x>
      <cdr:y>0.8184</cdr:y>
    </cdr:to>
    <cdr:sp macro="" textlink="KSH!$C$4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1D97C1A6-BFA9-26C2-46C5-278EB3A008C0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>
          <a:off x="283213" y="281108"/>
          <a:ext cx="897392" cy="897392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glow rad="63500">
            <a:schemeClr val="accent3">
              <a:satMod val="175000"/>
              <a:alpha val="40000"/>
            </a:schemeClr>
          </a:glo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94F54CDA-01CB-EC48-B30F-B096659729BF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25%</a:t>
          </a:fld>
          <a:endParaRPr lang="en-US" b="1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0.19668</cdr:x>
      <cdr:y>0.19521</cdr:y>
    </cdr:from>
    <cdr:to>
      <cdr:x>0.81986</cdr:x>
      <cdr:y>0.8184</cdr:y>
    </cdr:to>
    <cdr:sp macro="" textlink="KSH!$C$5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1D97C1A6-BFA9-26C2-46C5-278EB3A008C0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>
          <a:off x="283213" y="281108"/>
          <a:ext cx="897392" cy="897392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glow rad="63500">
            <a:schemeClr val="accent3">
              <a:satMod val="175000"/>
              <a:alpha val="40000"/>
            </a:schemeClr>
          </a:glo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8610229F-BD7B-9345-AD95-6AA255DAFDE6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25%</a:t>
          </a:fld>
          <a:endParaRPr lang="en-US" b="1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0.19668</cdr:x>
      <cdr:y>0.19521</cdr:y>
    </cdr:from>
    <cdr:to>
      <cdr:x>0.81986</cdr:x>
      <cdr:y>0.8184</cdr:y>
    </cdr:to>
    <cdr:sp macro="" textlink="KSH!$C$6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1D97C1A6-BFA9-26C2-46C5-278EB3A008C0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>
          <a:off x="283213" y="281108"/>
          <a:ext cx="897392" cy="897392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glow rad="63500">
            <a:schemeClr val="accent3">
              <a:satMod val="175000"/>
              <a:alpha val="40000"/>
            </a:schemeClr>
          </a:glo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448B114A-EC3B-A042-9029-60FE8F075F15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10%</a:t>
          </a:fld>
          <a:endParaRPr lang="en-US" b="1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17</xdr:row>
      <xdr:rowOff>76200</xdr:rowOff>
    </xdr:from>
    <xdr:to>
      <xdr:col>14</xdr:col>
      <xdr:colOff>292100</xdr:colOff>
      <xdr:row>29</xdr:row>
      <xdr:rowOff>114300</xdr:rowOff>
    </xdr:to>
    <xdr:sp macro="" textlink="'Brand Wheel'!F12:W12">
      <xdr:nvSpPr>
        <xdr:cNvPr id="9" name="Left Arrow 8">
          <a:extLst>
            <a:ext uri="{FF2B5EF4-FFF2-40B4-BE49-F238E27FC236}">
              <a16:creationId xmlns:a16="http://schemas.microsoft.com/office/drawing/2014/main" id="{3C016AED-E1A9-2103-BC8B-771F6183BE2F}"/>
            </a:ext>
          </a:extLst>
        </xdr:cNvPr>
        <xdr:cNvSpPr/>
      </xdr:nvSpPr>
      <xdr:spPr>
        <a:xfrm>
          <a:off x="5410200" y="3187700"/>
          <a:ext cx="6057900" cy="2476500"/>
        </a:xfrm>
        <a:prstGeom prst="leftArrow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1BDD8B3-421A-8B48-B058-E0C6DF39FE0B}" type="TxLink">
            <a:rPr lang="en-US" sz="12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 </a:t>
          </a:fld>
          <a:endParaRPr lang="en-GB" sz="1100"/>
        </a:p>
      </xdr:txBody>
    </xdr:sp>
    <xdr:clientData/>
  </xdr:twoCellAnchor>
  <xdr:twoCellAnchor>
    <xdr:from>
      <xdr:col>14</xdr:col>
      <xdr:colOff>101600</xdr:colOff>
      <xdr:row>12</xdr:row>
      <xdr:rowOff>0</xdr:rowOff>
    </xdr:from>
    <xdr:to>
      <xdr:col>19</xdr:col>
      <xdr:colOff>654100</xdr:colOff>
      <xdr:row>35</xdr:row>
      <xdr:rowOff>6400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622EC20-4D70-36C7-E55D-64DD2AF397E0}"/>
            </a:ext>
          </a:extLst>
        </xdr:cNvPr>
        <xdr:cNvSpPr>
          <a:spLocks noChangeAspect="1"/>
        </xdr:cNvSpPr>
      </xdr:nvSpPr>
      <xdr:spPr>
        <a:xfrm>
          <a:off x="11277600" y="2095500"/>
          <a:ext cx="4680000" cy="468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419100</xdr:colOff>
      <xdr:row>13</xdr:row>
      <xdr:rowOff>0</xdr:rowOff>
    </xdr:from>
    <xdr:to>
      <xdr:col>17</xdr:col>
      <xdr:colOff>493600</xdr:colOff>
      <xdr:row>17</xdr:row>
      <xdr:rowOff>87200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CD7872B-C7BE-B744-BC14-A66651C207CF}"/>
            </a:ext>
          </a:extLst>
        </xdr:cNvPr>
        <xdr:cNvSpPr>
          <a:spLocks noChangeAspect="1"/>
        </xdr:cNvSpPr>
      </xdr:nvSpPr>
      <xdr:spPr>
        <a:xfrm>
          <a:off x="13246100" y="2895600"/>
          <a:ext cx="900000" cy="900000"/>
        </a:xfrm>
        <a:prstGeom prst="ellipse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63500</xdr:colOff>
      <xdr:row>18</xdr:row>
      <xdr:rowOff>25400</xdr:rowOff>
    </xdr:from>
    <xdr:to>
      <xdr:col>12</xdr:col>
      <xdr:colOff>330200</xdr:colOff>
      <xdr:row>19</xdr:row>
      <xdr:rowOff>114300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0AA6530-23C0-4FED-AE7B-4FB35AF2A116}"/>
            </a:ext>
          </a:extLst>
        </xdr:cNvPr>
        <xdr:cNvSpPr txBox="1"/>
      </xdr:nvSpPr>
      <xdr:spPr>
        <a:xfrm>
          <a:off x="7937500" y="3340100"/>
          <a:ext cx="1917700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 u="sng"/>
            <a:t>Value Proposition</a:t>
          </a:r>
        </a:p>
      </xdr:txBody>
    </xdr:sp>
    <xdr:clientData/>
  </xdr:twoCellAnchor>
  <xdr:twoCellAnchor>
    <xdr:from>
      <xdr:col>14</xdr:col>
      <xdr:colOff>571500</xdr:colOff>
      <xdr:row>23</xdr:row>
      <xdr:rowOff>12700</xdr:rowOff>
    </xdr:from>
    <xdr:to>
      <xdr:col>17</xdr:col>
      <xdr:colOff>255000</xdr:colOff>
      <xdr:row>33</xdr:row>
      <xdr:rowOff>140700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FECBC25-B5DD-0B47-8B9E-55953922AC7B}"/>
            </a:ext>
          </a:extLst>
        </xdr:cNvPr>
        <xdr:cNvGrpSpPr/>
      </xdr:nvGrpSpPr>
      <xdr:grpSpPr>
        <a:xfrm>
          <a:off x="11691938" y="4906170"/>
          <a:ext cx="2148095" cy="2152063"/>
          <a:chOff x="11846278" y="4838700"/>
          <a:chExt cx="2181166" cy="2103556"/>
        </a:xfrm>
      </xdr:grpSpPr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D0C0F559-A418-D342-8067-0360CD70942A}"/>
              </a:ext>
            </a:extLst>
          </xdr:cNvPr>
          <xdr:cNvSpPr>
            <a:spLocks noChangeAspect="1"/>
          </xdr:cNvSpPr>
        </xdr:nvSpPr>
        <xdr:spPr>
          <a:xfrm>
            <a:off x="11846278" y="4838700"/>
            <a:ext cx="2181166" cy="2103556"/>
          </a:xfrm>
          <a:prstGeom prst="ellipse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45B370A0-55E5-897D-4B20-6D0FBA0F865E}"/>
              </a:ext>
            </a:extLst>
          </xdr:cNvPr>
          <xdr:cNvSpPr txBox="1"/>
        </xdr:nvSpPr>
        <xdr:spPr>
          <a:xfrm>
            <a:off x="12539133" y="5003800"/>
            <a:ext cx="743656" cy="2935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600" b="1"/>
              <a:t>#1</a:t>
            </a:r>
          </a:p>
        </xdr:txBody>
      </xdr:sp>
      <xdr:sp macro="" textlink="$W$37">
        <xdr:nvSpPr>
          <xdr:cNvPr id="14" name="TextBox 13">
            <a:extLst>
              <a:ext uri="{FF2B5EF4-FFF2-40B4-BE49-F238E27FC236}">
                <a16:creationId xmlns:a16="http://schemas.microsoft.com/office/drawing/2014/main" id="{61CF7AE6-67F6-CD41-B903-27E4C4EB62F0}"/>
              </a:ext>
            </a:extLst>
          </xdr:cNvPr>
          <xdr:cNvSpPr txBox="1"/>
        </xdr:nvSpPr>
        <xdr:spPr>
          <a:xfrm>
            <a:off x="12221633" y="5545667"/>
            <a:ext cx="1480256" cy="6434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27B46A7-F25B-2C4F-88EE-B658D3B31F64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TENTEX FORTE (HIMALAYA) </a:t>
            </a:fld>
            <a:endParaRPr lang="en-GB" sz="1600" b="1"/>
          </a:p>
        </xdr:txBody>
      </xdr:sp>
    </xdr:grpSp>
    <xdr:clientData/>
  </xdr:twoCellAnchor>
  <xdr:twoCellAnchor>
    <xdr:from>
      <xdr:col>17</xdr:col>
      <xdr:colOff>177800</xdr:colOff>
      <xdr:row>19</xdr:row>
      <xdr:rowOff>50800</xdr:rowOff>
    </xdr:from>
    <xdr:to>
      <xdr:col>19</xdr:col>
      <xdr:colOff>0</xdr:colOff>
      <xdr:row>26</xdr:row>
      <xdr:rowOff>68400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562DBC72-9D8F-3F13-C2DE-778B9782678B}"/>
            </a:ext>
          </a:extLst>
        </xdr:cNvPr>
        <xdr:cNvGrpSpPr/>
      </xdr:nvGrpSpPr>
      <xdr:grpSpPr>
        <a:xfrm>
          <a:off x="13762833" y="4134645"/>
          <a:ext cx="1465262" cy="1434443"/>
          <a:chOff x="13950244" y="4086578"/>
          <a:chExt cx="1487312" cy="1400489"/>
        </a:xfrm>
      </xdr:grpSpPr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3FFAD74B-9AAA-3942-AD27-7D3EBECD459B}"/>
              </a:ext>
            </a:extLst>
          </xdr:cNvPr>
          <xdr:cNvSpPr>
            <a:spLocks noChangeAspect="1"/>
          </xdr:cNvSpPr>
        </xdr:nvSpPr>
        <xdr:spPr>
          <a:xfrm>
            <a:off x="13975644" y="4086578"/>
            <a:ext cx="1447056" cy="1400489"/>
          </a:xfrm>
          <a:prstGeom prst="ellipse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7CAC21E-39F7-414B-8915-A930B2889311}"/>
              </a:ext>
            </a:extLst>
          </xdr:cNvPr>
          <xdr:cNvSpPr txBox="1"/>
        </xdr:nvSpPr>
        <xdr:spPr>
          <a:xfrm>
            <a:off x="14331244" y="4200878"/>
            <a:ext cx="743656" cy="2935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600" b="1"/>
              <a:t>#2</a:t>
            </a:r>
          </a:p>
        </xdr:txBody>
      </xdr:sp>
      <xdr:sp macro="" textlink="$W$38">
        <xdr:nvSpPr>
          <xdr:cNvPr id="15" name="TextBox 14">
            <a:extLst>
              <a:ext uri="{FF2B5EF4-FFF2-40B4-BE49-F238E27FC236}">
                <a16:creationId xmlns:a16="http://schemas.microsoft.com/office/drawing/2014/main" id="{78F4256E-DE73-774E-88A5-C9B3F7C22162}"/>
              </a:ext>
            </a:extLst>
          </xdr:cNvPr>
          <xdr:cNvSpPr txBox="1"/>
        </xdr:nvSpPr>
        <xdr:spPr>
          <a:xfrm>
            <a:off x="13950244" y="4481689"/>
            <a:ext cx="1487312" cy="6434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B2C91C6-CCBC-744D-80A0-7C940CAC0B09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CONFIDO (HIMALAYA) </a:t>
            </a:fld>
            <a:endParaRPr lang="en-GB" sz="1600" b="1"/>
          </a:p>
        </xdr:txBody>
      </xdr:sp>
    </xdr:grpSp>
    <xdr:clientData/>
  </xdr:twoCellAnchor>
  <xdr:twoCellAnchor>
    <xdr:from>
      <xdr:col>14</xdr:col>
      <xdr:colOff>777522</xdr:colOff>
      <xdr:row>16</xdr:row>
      <xdr:rowOff>12700</xdr:rowOff>
    </xdr:from>
    <xdr:to>
      <xdr:col>16</xdr:col>
      <xdr:colOff>599723</xdr:colOff>
      <xdr:row>22</xdr:row>
      <xdr:rowOff>53500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326D7F07-839C-262B-07BB-0FFD1B094358}"/>
            </a:ext>
          </a:extLst>
        </xdr:cNvPr>
        <xdr:cNvGrpSpPr/>
      </xdr:nvGrpSpPr>
      <xdr:grpSpPr>
        <a:xfrm>
          <a:off x="11897960" y="3489325"/>
          <a:ext cx="1465263" cy="1255238"/>
          <a:chOff x="12052300" y="3455811"/>
          <a:chExt cx="1487312" cy="1226133"/>
        </a:xfrm>
      </xdr:grpSpPr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8AD95047-C969-8447-B2AB-5EA5DFCB50D7}"/>
              </a:ext>
            </a:extLst>
          </xdr:cNvPr>
          <xdr:cNvSpPr>
            <a:spLocks noChangeAspect="1"/>
          </xdr:cNvSpPr>
        </xdr:nvSpPr>
        <xdr:spPr>
          <a:xfrm>
            <a:off x="12158133" y="3455811"/>
            <a:ext cx="1267056" cy="1226133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3CD99D8-D589-E240-BC0C-CE82B7B18EDD}"/>
              </a:ext>
            </a:extLst>
          </xdr:cNvPr>
          <xdr:cNvSpPr txBox="1"/>
        </xdr:nvSpPr>
        <xdr:spPr>
          <a:xfrm>
            <a:off x="12399433" y="3519311"/>
            <a:ext cx="743656" cy="299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600" b="1"/>
              <a:t>#3</a:t>
            </a:r>
          </a:p>
        </xdr:txBody>
      </xdr:sp>
      <xdr:sp macro="" textlink="$W$38">
        <xdr:nvSpPr>
          <xdr:cNvPr id="16" name="TextBox 15">
            <a:extLst>
              <a:ext uri="{FF2B5EF4-FFF2-40B4-BE49-F238E27FC236}">
                <a16:creationId xmlns:a16="http://schemas.microsoft.com/office/drawing/2014/main" id="{0D3676D6-F19D-8340-8746-F6E3C7F4E674}"/>
              </a:ext>
            </a:extLst>
          </xdr:cNvPr>
          <xdr:cNvSpPr txBox="1"/>
        </xdr:nvSpPr>
        <xdr:spPr>
          <a:xfrm>
            <a:off x="12052300" y="3795889"/>
            <a:ext cx="1487312" cy="6434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B2C91C6-CCBC-744D-80A0-7C940CAC0B09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CONFIDO (HIMALAYA) </a:t>
            </a:fld>
            <a:endParaRPr lang="en-GB" sz="1600" b="1"/>
          </a:p>
        </xdr:txBody>
      </xdr:sp>
    </xdr:grpSp>
    <xdr:clientData/>
  </xdr:twoCellAnchor>
  <xdr:twoCellAnchor>
    <xdr:from>
      <xdr:col>16</xdr:col>
      <xdr:colOff>142522</xdr:colOff>
      <xdr:row>13</xdr:row>
      <xdr:rowOff>111478</xdr:rowOff>
    </xdr:from>
    <xdr:to>
      <xdr:col>17</xdr:col>
      <xdr:colOff>797279</xdr:colOff>
      <xdr:row>16</xdr:row>
      <xdr:rowOff>162278</xdr:rowOff>
    </xdr:to>
    <xdr:sp macro="" textlink="$W$41">
      <xdr:nvSpPr>
        <xdr:cNvPr id="20" name="TextBox 19">
          <a:extLst>
            <a:ext uri="{FF2B5EF4-FFF2-40B4-BE49-F238E27FC236}">
              <a16:creationId xmlns:a16="http://schemas.microsoft.com/office/drawing/2014/main" id="{F1347BE2-7238-D747-95B2-04C739AC3918}"/>
            </a:ext>
          </a:extLst>
        </xdr:cNvPr>
        <xdr:cNvSpPr txBox="1"/>
      </xdr:nvSpPr>
      <xdr:spPr>
        <a:xfrm>
          <a:off x="13082411" y="2961922"/>
          <a:ext cx="1487312" cy="643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5D9FD67-E302-9E4C-B759-9E76A4E74AAF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VIRILEX (TTK) </a:t>
          </a:fld>
          <a:endParaRPr lang="en-GB" sz="20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653493</xdr:colOff>
      <xdr:row>21</xdr:row>
      <xdr:rowOff>123300</xdr:rowOff>
    </xdr:from>
    <xdr:to>
      <xdr:col>15</xdr:col>
      <xdr:colOff>147961</xdr:colOff>
      <xdr:row>39</xdr:row>
      <xdr:rowOff>36990</xdr:rowOff>
    </xdr:to>
    <xdr:sp macro="" textlink="">
      <xdr:nvSpPr>
        <xdr:cNvPr id="2" name="Doughnut 1">
          <a:extLst>
            <a:ext uri="{FF2B5EF4-FFF2-40B4-BE49-F238E27FC236}">
              <a16:creationId xmlns:a16="http://schemas.microsoft.com/office/drawing/2014/main" id="{59AEAA3B-2D68-6A1B-D0BD-0263A00337D7}"/>
            </a:ext>
          </a:extLst>
        </xdr:cNvPr>
        <xdr:cNvSpPr/>
      </xdr:nvSpPr>
      <xdr:spPr>
        <a:xfrm>
          <a:off x="6732231" y="2096116"/>
          <a:ext cx="5277283" cy="3464757"/>
        </a:xfrm>
        <a:prstGeom prst="donut">
          <a:avLst>
            <a:gd name="adj" fmla="val 34266"/>
          </a:avLst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332912</xdr:colOff>
      <xdr:row>29</xdr:row>
      <xdr:rowOff>36991</xdr:rowOff>
    </xdr:from>
    <xdr:to>
      <xdr:col>13</xdr:col>
      <xdr:colOff>443884</xdr:colOff>
      <xdr:row>31</xdr:row>
      <xdr:rowOff>98642</xdr:rowOff>
    </xdr:to>
    <xdr:sp macro="" textlink="$AP$5">
      <xdr:nvSpPr>
        <xdr:cNvPr id="3" name="TextBox 2">
          <a:extLst>
            <a:ext uri="{FF2B5EF4-FFF2-40B4-BE49-F238E27FC236}">
              <a16:creationId xmlns:a16="http://schemas.microsoft.com/office/drawing/2014/main" id="{D48B2F7D-FC3A-82FA-F965-731A4CADCC4C}"/>
            </a:ext>
          </a:extLst>
        </xdr:cNvPr>
        <xdr:cNvSpPr txBox="1"/>
      </xdr:nvSpPr>
      <xdr:spPr>
        <a:xfrm>
          <a:off x="8063883" y="3588059"/>
          <a:ext cx="2589321" cy="456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5171462-33FC-C74C-99AD-A642127598DA}" type="TxLink">
            <a:rPr lang="en-US" sz="18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Brand essence</a:t>
          </a:fld>
          <a:endParaRPr lang="en-GB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349681</xdr:colOff>
      <xdr:row>23</xdr:row>
      <xdr:rowOff>127740</xdr:rowOff>
    </xdr:from>
    <xdr:to>
      <xdr:col>13</xdr:col>
      <xdr:colOff>460653</xdr:colOff>
      <xdr:row>27</xdr:row>
      <xdr:rowOff>0</xdr:rowOff>
    </xdr:to>
    <xdr:sp macro="" textlink="$AP$4">
      <xdr:nvSpPr>
        <xdr:cNvPr id="4" name="TextBox 3">
          <a:extLst>
            <a:ext uri="{FF2B5EF4-FFF2-40B4-BE49-F238E27FC236}">
              <a16:creationId xmlns:a16="http://schemas.microsoft.com/office/drawing/2014/main" id="{EB141B4D-7840-2746-993D-9644F99266A2}"/>
            </a:ext>
          </a:extLst>
        </xdr:cNvPr>
        <xdr:cNvSpPr txBox="1"/>
      </xdr:nvSpPr>
      <xdr:spPr>
        <a:xfrm>
          <a:off x="8423252" y="4708811"/>
          <a:ext cx="2605615" cy="658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106B87E-DACB-474B-9294-B755AEF1D97B}" type="TxLink">
            <a:rPr lang="en-US" sz="1800" b="1" i="0" u="none" strike="noStrike">
              <a:solidFill>
                <a:srgbClr val="FFFFFF"/>
              </a:solidFill>
              <a:latin typeface="Calibri"/>
              <a:ea typeface="+mn-ea"/>
              <a:cs typeface="Calibri"/>
            </a:rPr>
            <a:pPr marL="0" indent="0" algn="ctr"/>
            <a:t>Key Customer Insight</a:t>
          </a:fld>
          <a:endParaRPr lang="en-GB" sz="1800" b="1" i="0" u="none" strike="noStrike">
            <a:solidFill>
              <a:srgbClr val="FFFFFF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90715</xdr:colOff>
      <xdr:row>34</xdr:row>
      <xdr:rowOff>1684</xdr:rowOff>
    </xdr:from>
    <xdr:to>
      <xdr:col>13</xdr:col>
      <xdr:colOff>784941</xdr:colOff>
      <xdr:row>36</xdr:row>
      <xdr:rowOff>63335</xdr:rowOff>
    </xdr:to>
    <xdr:sp macro="" textlink="$AP$3">
      <xdr:nvSpPr>
        <xdr:cNvPr id="5" name="TextBox 4">
          <a:extLst>
            <a:ext uri="{FF2B5EF4-FFF2-40B4-BE49-F238E27FC236}">
              <a16:creationId xmlns:a16="http://schemas.microsoft.com/office/drawing/2014/main" id="{7DB9B78D-4A80-3943-8513-F7119CE5510E}"/>
            </a:ext>
          </a:extLst>
        </xdr:cNvPr>
        <xdr:cNvSpPr txBox="1"/>
      </xdr:nvSpPr>
      <xdr:spPr>
        <a:xfrm>
          <a:off x="8164286" y="6472636"/>
          <a:ext cx="3188869" cy="4547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AEF04E-981E-7C4D-8A45-1BF6BAA146B5}" type="TxLink">
            <a:rPr lang="en-US" sz="1800" b="1" i="0" u="none" strike="noStrike">
              <a:solidFill>
                <a:srgbClr val="FFFFFF"/>
              </a:solidFill>
              <a:latin typeface="Calibri"/>
              <a:cs typeface="Calibri"/>
            </a:rPr>
            <a:pPr algn="ctr"/>
            <a:t>Single Minded Proposition</a:t>
          </a:fld>
          <a:endParaRPr lang="en-GB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199967</xdr:colOff>
      <xdr:row>0</xdr:row>
      <xdr:rowOff>0</xdr:rowOff>
    </xdr:from>
    <xdr:to>
      <xdr:col>27</xdr:col>
      <xdr:colOff>649408</xdr:colOff>
      <xdr:row>19</xdr:row>
      <xdr:rowOff>172155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794787-8948-9DB5-CA62-256BDBC56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l Walavalkar" refreshedDate="45429.517136342591" createdVersion="8" refreshedVersion="8" minRefreshableVersion="3" recordCount="58" xr:uid="{593CCECF-0D9B-7349-B207-C5D248F63394}">
  <cacheSource type="worksheet">
    <worksheetSource ref="B8:K66" sheet="AWACS input"/>
  </cacheSource>
  <cacheFields count="10">
    <cacheField name="SUBGROUP" numFmtId="0">
      <sharedItems/>
    </cacheField>
    <cacheField name="BRAND" numFmtId="0">
      <sharedItems/>
    </cacheField>
    <cacheField name="COMPANY" numFmtId="0">
      <sharedItems count="27">
        <s v="HIMALAYA DRUG COMPANY"/>
        <s v="CHARAK PHARMA PVT LTD"/>
        <s v="ALBERT DAVID"/>
        <s v="CIPLA LTD."/>
        <s v="SANZYME LTD"/>
        <s v="TTK HEALTHCARE LTD"/>
        <s v="ZYDUS CADILA - ZHL"/>
        <s v="AIMIL PHARMACEUTICAL (INDIA)"/>
        <s v="DABUR INDIA LTD."/>
        <s v="MIDAS CARE PHARMACEUTICALS PVT LTD"/>
        <s v="INNOVCARE LIFE SCIENCES PVT.LTD"/>
        <s v="ZANDU PHARMACEUTICALS WORKS LTD"/>
        <s v="VILCO LABORATORIES PVT. LTD"/>
        <s v="UNIVERSAL NUTRISCIENCE PVT LTD"/>
        <s v="MMC PHARMACEUTICALS LTD"/>
        <s v="INDSWIFT LABORATORIES LTD."/>
        <s v="NEO VEDIC DRUG PHARMA"/>
        <s v="UNIVERSAL MEDIKIT"/>
        <s v="DIAL PHARMACEUTICALS PVT. LTD."/>
        <s v="SANAT PRODUCTS LTD"/>
        <s v="RPG LIFE SCIENCES LTD."/>
        <s v="CONCEPT PHARMACEUTICALS LTD"/>
        <s v="UNI LABS"/>
        <s v="WOCKHARDT LTD"/>
        <s v="NEON LABORATORIES LTD"/>
        <s v="PHARMED LTD"/>
        <s v="SYNCOM FORMULATIONS (I) LIMITED"/>
      </sharedItems>
    </cacheField>
    <cacheField name="SKU" numFmtId="0">
      <sharedItems/>
    </cacheField>
    <cacheField name="PTR" numFmtId="0">
      <sharedItems containsSemiMixedTypes="0" containsString="0" containsNumber="1" minValue="50" maxValue="1359.6"/>
    </cacheField>
    <cacheField name="Sum of MAT VAL DEC 17" numFmtId="165">
      <sharedItems containsSemiMixedTypes="0" containsString="0" containsNumber="1" minValue="0" maxValue="15.637279852000001"/>
    </cacheField>
    <cacheField name="Sum of MAT VAL DEC 18" numFmtId="165">
      <sharedItems containsSemiMixedTypes="0" containsString="0" containsNumber="1" minValue="0" maxValue="19.924983355999998"/>
    </cacheField>
    <cacheField name="Sum of MAT VAL DEC 19" numFmtId="165">
      <sharedItems containsSemiMixedTypes="0" containsString="0" containsNumber="1" minValue="0" maxValue="21.996632512000001"/>
    </cacheField>
    <cacheField name="Sum of MAT VAL DEC 20" numFmtId="165">
      <sharedItems containsSemiMixedTypes="0" containsString="0" containsNumber="1" minValue="0" maxValue="23.650365522000001"/>
    </cacheField>
    <cacheField name="Sum of MAT VAL DEC 21" numFmtId="165">
      <sharedItems containsSemiMixedTypes="0" containsString="0" containsNumber="1" minValue="0" maxValue="25.389485348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SEX TONICS &amp; STIMULANTS | V3X2"/>
    <s v="TENTEX FORTE"/>
    <x v="0"/>
    <s v="TENTEX FORTE TABLET 10"/>
    <n v="55"/>
    <n v="15.467838215"/>
    <n v="19.924983355999998"/>
    <n v="21.996632512000001"/>
    <n v="23.650365522000001"/>
    <n v="25.389485348000001"/>
  </r>
  <r>
    <s v="SEX TONICS &amp; STIMULANTS | V3X2"/>
    <s v="CONFIDO"/>
    <x v="0"/>
    <s v="CONFIDO TABLET 60"/>
    <n v="96.24"/>
    <n v="15.637279852000001"/>
    <n v="18.031377264"/>
    <n v="18.098489808"/>
    <n v="20.386764641999999"/>
    <n v="21.176620346"/>
  </r>
  <r>
    <s v="SEX TONICS &amp; STIMULANTS | V3X2"/>
    <s v="ADDYZOA"/>
    <x v="1"/>
    <s v="ADDYZOA CAPSULE 20"/>
    <n v="132.13"/>
    <n v="10.837601848"/>
    <n v="11.94643892"/>
    <n v="11.564506982999999"/>
    <n v="12.296884581"/>
    <n v="13.049718232"/>
  </r>
  <r>
    <s v="SEX TONICS &amp; STIMULANTS | V3X2"/>
    <s v="HIMCOLIN"/>
    <x v="0"/>
    <s v="HIMCOLIN GEL 30 GM"/>
    <n v="120.31"/>
    <n v="6.3444093759999998"/>
    <n v="10.231341768"/>
    <n v="12.178191024"/>
    <n v="10.320914999999999"/>
    <n v="9.6567242409999992"/>
  </r>
  <r>
    <s v="SEX TONICS &amp; STIMULANTS | V3X2"/>
    <s v="SIOTONE"/>
    <x v="2"/>
    <s v="SIOTONE CAPSULE 10"/>
    <n v="117.14"/>
    <n v="8.9375234159999994"/>
    <n v="8.3246400000000005"/>
    <n v="8.2361710000000006"/>
    <n v="6.394069"/>
    <n v="7.7516611659999999"/>
  </r>
  <r>
    <s v="SEX TONICS &amp; STIMULANTS | V3X2"/>
    <s v="ENDOBLOC T"/>
    <x v="3"/>
    <s v="ENDOBLOC T KIT TABLET 10"/>
    <n v="1359.6"/>
    <n v="1.7859071419999999"/>
    <n v="3.8063684919999998"/>
    <n v="4.7201855579999998"/>
    <n v="6.33752724"/>
    <n v="7.3298755199999999"/>
  </r>
  <r>
    <s v="SEX TONICS &amp; STIMULANTS | V3X2"/>
    <s v="SPEMAN"/>
    <x v="0"/>
    <s v="SPEMAN TABLET 60"/>
    <n v="99.69"/>
    <n v="8.9340505960000005"/>
    <n v="8.9604239999999997"/>
    <n v="8.5660265730000003"/>
    <n v="8.0282691820000007"/>
    <n v="7.1490788070000004"/>
  </r>
  <r>
    <s v="SEX TONICS &amp; STIMULANTS | V3X2"/>
    <s v="NANO LEO"/>
    <x v="4"/>
    <s v="NANO LEO CAPSULE 15"/>
    <n v="508.47"/>
    <n v="5.1178064430000001"/>
    <n v="5.903437416"/>
    <n v="6.2090489959999999"/>
    <n v="4.4764274400000001"/>
    <n v="7.0084846389999997"/>
  </r>
  <r>
    <s v="SEX TONICS &amp; STIMULANTS | V3X2"/>
    <s v="VIRILEX"/>
    <x v="5"/>
    <s v="VIRILEX TABLET 20"/>
    <n v="375"/>
    <n v="5.6440445280000002"/>
    <n v="5.5517662799999998"/>
    <n v="5.3500678949999996"/>
    <n v="5.3306099099999997"/>
    <n v="6.2840625000000001"/>
  </r>
  <r>
    <s v="SEX TONICS &amp; STIMULANTS | V3X2"/>
    <s v="ERACT X"/>
    <x v="6"/>
    <s v="ERACT X SACHET 10 GM"/>
    <n v="62.24"/>
    <n v="0"/>
    <n v="1.5142288699999999"/>
    <n v="5.6595107799999997"/>
    <n v="5.6511347199999999"/>
    <n v="6.0488706429999999"/>
  </r>
  <r>
    <s v="SEX TONICS &amp; STIMULANTS | V3X2"/>
    <s v="NEO"/>
    <x v="1"/>
    <s v="NEO TABLET 75"/>
    <n v="91.43"/>
    <n v="4.5704535499999999"/>
    <n v="4.9037520280000004"/>
    <n v="5.1904837109999997"/>
    <n v="4.8801519979999997"/>
    <n v="5.2528079180000002"/>
  </r>
  <r>
    <s v="SEX TONICS &amp; STIMULANTS | V3X2"/>
    <s v="SEMENTO"/>
    <x v="7"/>
    <s v="SEMENTO CAPSULE 20"/>
    <n v="178.46"/>
    <n v="0"/>
    <n v="0"/>
    <n v="1.579227935"/>
    <n v="4.0179179639999996"/>
    <n v="4.1960721349999996"/>
  </r>
  <r>
    <s v="SEX TONICS &amp; STIMULANTS | V3X2"/>
    <s v="SHILAJIT"/>
    <x v="8"/>
    <s v="SHILAJIT CAPSULE 10"/>
    <n v="51.28"/>
    <n v="0.44898126500000002"/>
    <n v="0.23441662299999999"/>
    <n v="5.2577846999999997E-2"/>
    <n v="6.7967549999999998E-3"/>
    <n v="4.493347E-3"/>
  </r>
  <r>
    <s v="SEX TONICS &amp; STIMULANTS | V3X2"/>
    <s v="SHILAJIT"/>
    <x v="8"/>
    <s v="SHILAJIT CAPSULE 100"/>
    <n v="372.03"/>
    <n v="0.38717641200000003"/>
    <n v="0.308342004"/>
    <n v="0.16010693200000001"/>
    <n v="0.112473383"/>
    <n v="9.4160418999999995E-2"/>
  </r>
  <r>
    <s v="SEX TONICS &amp; STIMULANTS | V3X2"/>
    <s v="SHILAJIT"/>
    <x v="8"/>
    <s v="SHILAJIT CAPSULE 30"/>
    <n v="149.38"/>
    <n v="0.75483106899999997"/>
    <n v="0.39509170100000002"/>
    <n v="0.34328553699999997"/>
    <n v="0.24437622000000001"/>
    <n v="0.287624035"/>
  </r>
  <r>
    <s v="SEX TONICS &amp; STIMULANTS | V3X2"/>
    <s v="SHILAJIT"/>
    <x v="8"/>
    <s v="SHILAJIT CAPSULE 50"/>
    <n v="200.94"/>
    <n v="5.4890318E-2"/>
    <n v="0"/>
    <n v="0"/>
    <n v="0"/>
    <n v="0"/>
  </r>
  <r>
    <s v="SEX TONICS &amp; STIMULANTS | V3X2"/>
    <s v="SHILAJIT"/>
    <x v="8"/>
    <s v="SHILAJIT GOLD CAPSULE 10"/>
    <n v="182.29"/>
    <n v="7.8806619729999996"/>
    <n v="5.083581691"/>
    <n v="4.3843777749999999"/>
    <n v="2.3380263060000002"/>
    <n v="2.7838706119999999"/>
  </r>
  <r>
    <s v="SEX TONICS &amp; STIMULANTS | V3X2"/>
    <s v="SHILAJIT"/>
    <x v="8"/>
    <s v="SHILAJIT GOLD CAPSULE 20"/>
    <n v="331.1"/>
    <n v="2.059491924"/>
    <n v="0.99147000399999996"/>
    <n v="1.0453589080000001"/>
    <n v="0.46088273400000002"/>
    <n v="0.58966096999999995"/>
  </r>
  <r>
    <s v="SEX TONICS &amp; STIMULANTS | V3X2"/>
    <s v="NANO LEO TOTAL"/>
    <x v="4"/>
    <s v="NANO LEO TOTAL CAPSULE 10"/>
    <n v="50.85"/>
    <n v="1.1737272459999999"/>
    <n v="0.50511409799999996"/>
    <n v="0.49240234799999999"/>
    <n v="9.1727987999999996E-2"/>
    <n v="5.4409499999999997E-4"/>
  </r>
  <r>
    <s v="SEX TONICS &amp; STIMULANTS | V3X2"/>
    <s v="NANO LEO TOTAL"/>
    <x v="4"/>
    <s v="NANO LEO TOTAL SACHET 3 GM"/>
    <n v="57.63"/>
    <n v="2.7615717829999999"/>
    <n v="3.6264440250000001"/>
    <n v="2.7920260350000001"/>
    <n v="1.860352335"/>
    <n v="2.5757013209999999"/>
  </r>
  <r>
    <s v="SEX TONICS &amp; STIMULANTS | V3X2"/>
    <s v="CLIMAX"/>
    <x v="9"/>
    <s v="CLIMAX SPRAY 15 GM"/>
    <n v="155.86000000000001"/>
    <n v="3.2068523369999999"/>
    <n v="3.6416221420000001"/>
    <n v="3.7204405440000001"/>
    <n v="2.6047323200000001"/>
    <n v="2.396207226"/>
  </r>
  <r>
    <s v="SEX TONICS &amp; STIMULANTS | V3X2"/>
    <s v="EDRIVE C"/>
    <x v="10"/>
    <s v="EDRIVE C TABLET 10"/>
    <n v="338.31"/>
    <n v="0.86671713399999994"/>
    <n v="1.7391738779999999"/>
    <n v="2.230764492"/>
    <n v="2.0575908530000002"/>
    <n v="2.2512838949999998"/>
  </r>
  <r>
    <s v="SEX TONICS &amp; STIMULANTS | V3X2"/>
    <s v="VIGOREX"/>
    <x v="11"/>
    <s v="VIGOREX CAPSULE 10"/>
    <n v="163.69"/>
    <n v="1.8967835820000001"/>
    <n v="2.036296375"/>
    <n v="1.4632499999999999"/>
    <n v="0.98359154199999999"/>
    <n v="1.48833992"/>
  </r>
  <r>
    <s v="SEX TONICS &amp; STIMULANTS | V3X2"/>
    <s v="VIGOREX"/>
    <x v="11"/>
    <s v="VIGOREX CAPSULE 20"/>
    <n v="227"/>
    <n v="0"/>
    <n v="2.261E-3"/>
    <n v="1.1941744000000001E-2"/>
    <n v="9.3977999999999996E-3"/>
    <n v="4.7216000000000003E-3"/>
  </r>
  <r>
    <s v="SEX TONICS &amp; STIMULANTS | V3X2"/>
    <s v="EDRIVE"/>
    <x v="10"/>
    <s v="EDRIVE POWDER 15 GM"/>
    <n v="117.97"/>
    <n v="2.2149573020000002"/>
    <n v="2.29697416"/>
    <n v="2.3932914150000002"/>
    <n v="1.43604881"/>
    <n v="1.3796591499999999"/>
  </r>
  <r>
    <s v="SEX TONICS &amp; STIMULANTS | V3X2"/>
    <s v="VIGOMAX"/>
    <x v="1"/>
    <s v="VIGOMAX CAPSULE 10"/>
    <n v="112"/>
    <n v="3.2110399999999997E-2"/>
    <n v="4.2671999999999996E-3"/>
    <n v="2.2623999999999999E-3"/>
    <n v="2.1167999999999998E-3"/>
    <n v="2.0159999999999999E-4"/>
  </r>
  <r>
    <s v="SEX TONICS &amp; STIMULANTS | V3X2"/>
    <s v="VIGOMAX"/>
    <x v="1"/>
    <s v="VIGOMAX CAPSULE 20"/>
    <n v="101.34"/>
    <n v="0"/>
    <n v="0"/>
    <n v="0"/>
    <n v="0"/>
    <n v="0"/>
  </r>
  <r>
    <s v="SEX TONICS &amp; STIMULANTS | V3X2"/>
    <s v="VIGOMAX"/>
    <x v="1"/>
    <s v="VIGOMAX FORTE TABLET 20"/>
    <n v="153.56"/>
    <n v="1.6590943339999999"/>
    <n v="1.656227106"/>
    <n v="1.6957122280000001"/>
    <n v="1.5418661549999999"/>
    <n v="1.3756683080000001"/>
  </r>
  <r>
    <s v="SEX TONICS &amp; STIMULANTS | V3X2"/>
    <s v="IGNITOR ED"/>
    <x v="6"/>
    <s v="IGNITOR ED SACHET 10 GM"/>
    <n v="70.709999999999994"/>
    <n v="1.4981349289999999"/>
    <n v="1.8934711689999999"/>
    <n v="1.4629682340000001"/>
    <n v="1.114046096"/>
    <n v="0.97004220600000002"/>
  </r>
  <r>
    <s v="SEX TONICS &amp; STIMULANTS | V3X2"/>
    <s v="Y SPUR"/>
    <x v="12"/>
    <s v="Y SPUR CAPSULE 30"/>
    <n v="777.87"/>
    <n v="0.49205004600000002"/>
    <n v="0.60485752000000004"/>
    <n v="0.68845758899999998"/>
    <n v="0.67042377600000003"/>
    <n v="0.758070252"/>
  </r>
  <r>
    <s v="SEX TONICS &amp; STIMULANTS | V3X2"/>
    <s v="PALLRYWYN"/>
    <x v="1"/>
    <s v="PALLRYWYN FORTE TABLET 20"/>
    <n v="138.57"/>
    <n v="0.696018252"/>
    <n v="0.579459744"/>
    <n v="0.488435234"/>
    <n v="0.37761250000000002"/>
    <n v="0.473300575"/>
  </r>
  <r>
    <s v="SEX TONICS &amp; STIMULANTS | V3X2"/>
    <s v="PALLRYWYN"/>
    <x v="1"/>
    <s v="PALLRYWYN TABLET 20"/>
    <n v="65.45"/>
    <n v="0.214080405"/>
    <n v="4.7555970000000003E-2"/>
    <n v="2.3136575E-2"/>
    <n v="8.4757749999999996E-3"/>
    <n v="7.4613000000000001E-4"/>
  </r>
  <r>
    <s v="SEX TONICS &amp; STIMULANTS | V3X2"/>
    <s v="ENLARGE"/>
    <x v="13"/>
    <s v="ENLARGE FORTE SACHET 10 GM"/>
    <n v="135.59"/>
    <n v="1.713599484"/>
    <n v="0.82268930100000004"/>
    <n v="0.74215986599999995"/>
    <n v="0.420943285"/>
    <n v="0.326885482"/>
  </r>
  <r>
    <s v="SEX TONICS &amp; STIMULANTS | V3X2"/>
    <s v="V TWO"/>
    <x v="5"/>
    <s v="V TWO 10 % GEL 10 GM"/>
    <n v="114.29"/>
    <n v="2.777247E-3"/>
    <n v="4.68589E-4"/>
    <n v="4.1144400000000001E-4"/>
    <n v="0"/>
    <n v="0"/>
  </r>
  <r>
    <s v="SEX TONICS &amp; STIMULANTS | V3X2"/>
    <s v="V TWO"/>
    <x v="5"/>
    <s v="V TWO SACHET 15 GM"/>
    <n v="74.58"/>
    <n v="0.89497325500000002"/>
    <n v="1.006619481"/>
    <n v="0.37498620599999999"/>
    <n v="7.0492057999999996E-2"/>
    <n v="0.27217971000000002"/>
  </r>
  <r>
    <s v="SEX TONICS &amp; STIMULANTS | V3X2"/>
    <s v="LIBIDUP"/>
    <x v="14"/>
    <s v="LIBIDUP SOFTGEL CAPSULE 15"/>
    <n v="433.9"/>
    <n v="0"/>
    <n v="0.222849246"/>
    <n v="0.238844106"/>
    <n v="6.3096942000000003E-2"/>
    <n v="0.26755080999999997"/>
  </r>
  <r>
    <s v="SEX TONICS &amp; STIMULANTS | V3X2"/>
    <s v="VIGORVIT FORTE"/>
    <x v="15"/>
    <s v="VIGORVIT FORTE CAPSULE 10"/>
    <n v="117.79"/>
    <n v="0.41022339099999999"/>
    <n v="0.42837867200000002"/>
    <n v="0.44077018000000001"/>
    <n v="0.300093583"/>
    <n v="0.21831198600000001"/>
  </r>
  <r>
    <s v="SEX TONICS &amp; STIMULANTS | V3X2"/>
    <s v="VIGOREX SF"/>
    <x v="11"/>
    <s v="VIGOREX SF CAPSULE 15"/>
    <n v="167.41"/>
    <n v="0.137472283"/>
    <n v="0.13876205799999999"/>
    <n v="0.143714858"/>
    <n v="9.8350982000000003E-2"/>
    <n v="0.192652027"/>
  </r>
  <r>
    <s v="SEX TONICS &amp; STIMULANTS | V3X2"/>
    <s v="SENSA ED"/>
    <x v="12"/>
    <s v="SENSA ED CAPSULE 10"/>
    <n v="215.72"/>
    <n v="0.11081123399999999"/>
    <n v="0.112955206"/>
    <n v="0.12083464100000001"/>
    <n v="6.8200495999999999E-2"/>
    <n v="9.1730195E-2"/>
  </r>
  <r>
    <s v="SEX TONICS &amp; STIMULANTS | V3X2"/>
    <s v="COMMANDO (NEOVEDIC)"/>
    <x v="16"/>
    <s v="COMMANDO (NEOVEDIC) CAPSULE 20"/>
    <n v="79.88"/>
    <n v="0.15056459999999999"/>
    <n v="0.20063376199999999"/>
    <n v="0.32220159300000001"/>
    <n v="0.15748330499999999"/>
    <n v="7.4975368000000001E-2"/>
  </r>
  <r>
    <s v="SEX TONICS &amp; STIMULANTS | V3X2"/>
    <s v="COMMANDO (NEOVEDIC)"/>
    <x v="16"/>
    <s v="COMMANDO (NEOVEDIC) OIL 15 ML"/>
    <n v="92.61"/>
    <n v="7.2332519999999997E-2"/>
    <n v="5.8363401000000002E-2"/>
    <n v="8.5997069999999995E-2"/>
    <n v="6.7549734E-2"/>
    <n v="1.1020590000000001E-3"/>
  </r>
  <r>
    <s v="SEX TONICS &amp; STIMULANTS | V3X2"/>
    <s v="VIVADONA"/>
    <x v="1"/>
    <s v="VIVADONA CAPSULE 20"/>
    <n v="135.71"/>
    <n v="0.13467695700000001"/>
    <n v="0.13374306699999999"/>
    <n v="0.11468444"/>
    <n v="5.3586427999999998E-2"/>
    <n v="5.0526360999999999E-2"/>
  </r>
  <r>
    <s v="SEX TONICS &amp; STIMULANTS | V3X2"/>
    <s v="VALIDO PLUS"/>
    <x v="17"/>
    <s v="VALIDO PLUS CAPSULE 10"/>
    <n v="150.94"/>
    <n v="2.7514006000000001E-2"/>
    <n v="4.5885759999999996E-3"/>
    <n v="0"/>
    <n v="0"/>
    <n v="0"/>
  </r>
  <r>
    <s v="SEX TONICS &amp; STIMULANTS | V3X2"/>
    <s v="VALIDO PLUS"/>
    <x v="17"/>
    <s v="VALIDO PLUS CAPSULE 60"/>
    <n v="300"/>
    <n v="0"/>
    <n v="1.2811262E-2"/>
    <n v="4.8930000000000001E-2"/>
    <n v="9.1500000000000001E-3"/>
    <n v="2.3550000000000001E-2"/>
  </r>
  <r>
    <s v="SEX TONICS &amp; STIMULANTS | V3X2"/>
    <s v="NEO MT"/>
    <x v="18"/>
    <s v="NEO MT TABLET 6"/>
    <n v="50"/>
    <n v="5.8131169999999996E-3"/>
    <n v="8.4048460000000005E-3"/>
    <n v="9.0606039999999999E-3"/>
    <n v="1.3801536E-2"/>
    <n v="1.7505E-2"/>
  </r>
  <r>
    <s v="SEX TONICS &amp; STIMULANTS | V3X2"/>
    <s v="EROTICAN"/>
    <x v="19"/>
    <s v="EROTICAN CAPSULE 10"/>
    <n v="167.41"/>
    <n v="0"/>
    <n v="0"/>
    <n v="9.9341094000000005E-2"/>
    <n v="3.8654968999999997E-2"/>
    <n v="1.3476505E-2"/>
  </r>
  <r>
    <s v="SEX TONICS &amp; STIMULANTS | V3X2"/>
    <s v="EVACTIVE"/>
    <x v="20"/>
    <s v="EVACTIVE TABLET 10"/>
    <n v="314.29000000000002"/>
    <n v="0.20622770100000001"/>
    <n v="4.3828704000000003E-2"/>
    <n v="5.9998400000000002E-4"/>
    <n v="0"/>
    <n v="1.25716E-2"/>
  </r>
  <r>
    <s v="SEX TONICS &amp; STIMULANTS | V3X2"/>
    <s v="AJAR"/>
    <x v="21"/>
    <s v="AJAR CAPSULE 10"/>
    <n v="64.290000000000006"/>
    <n v="1.2052821E-2"/>
    <n v="1.6462061E-2"/>
    <n v="8.1212119999999992E-3"/>
    <n v="6.6855599999999995E-4"/>
    <n v="5.1924670000000001E-3"/>
  </r>
  <r>
    <s v="SEX TONICS &amp; STIMULANTS | V3X2"/>
    <s v="UNILACT"/>
    <x v="22"/>
    <s v="UNILACT GRANULES 200 GM"/>
    <n v="130"/>
    <n v="5.6116100000000004E-3"/>
    <n v="7.6569999999999997E-3"/>
    <n v="2.5999999999999998E-4"/>
    <n v="0"/>
    <n v="0"/>
  </r>
  <r>
    <s v="SEX TONICS &amp; STIMULANTS | V3X2"/>
    <s v="UNILACT"/>
    <x v="22"/>
    <s v="UNILACT TABLET 10"/>
    <n v="60"/>
    <n v="2.1853412999999999E-2"/>
    <n v="2.12269E-2"/>
    <n v="2.27621E-2"/>
    <n v="1.6976399999999999E-2"/>
    <n v="4.4593999999999996E-3"/>
  </r>
  <r>
    <s v="SEX TONICS &amp; STIMULANTS | V3X2"/>
    <s v="UNILACT"/>
    <x v="22"/>
    <s v="UNILACT TABLET 30"/>
    <n v="115.86"/>
    <n v="0"/>
    <n v="0"/>
    <n v="0"/>
    <n v="0"/>
    <n v="0"/>
  </r>
  <r>
    <s v="SEX TONICS &amp; STIMULANTS | V3X2"/>
    <s v="BIG BOSS PLUS"/>
    <x v="5"/>
    <s v="BIG BOSS PLUS TABLET 10"/>
    <n v="50"/>
    <n v="0"/>
    <n v="8.7500000000000008E-3"/>
    <n v="4.2300000000000003E-3"/>
    <n v="5.9100000000000003E-3"/>
    <n v="3.3600000000000001E-3"/>
  </r>
  <r>
    <s v="SEX TONICS &amp; STIMULANTS | V3X2"/>
    <s v="MANIX"/>
    <x v="23"/>
    <s v="MANIX CAPSULE 10"/>
    <n v="134.29"/>
    <n v="0.735446351"/>
    <n v="0.68580746299999995"/>
    <n v="0.413425194"/>
    <n v="0.184608463"/>
    <n v="1.3429E-5"/>
  </r>
  <r>
    <s v="SEX TONICS &amp; STIMULANTS | V3X2"/>
    <s v="COMMANDO"/>
    <x v="24"/>
    <s v="COMMANDO CREAM 1 GM"/>
    <n v="145"/>
    <n v="2.2286500000000001E-2"/>
    <n v="2.3084E-2"/>
    <n v="3.1334500000000001E-2"/>
    <n v="7.3225E-3"/>
    <n v="0"/>
  </r>
  <r>
    <s v="SEX TONICS &amp; STIMULANTS | V3X2"/>
    <s v="SEDUZ"/>
    <x v="25"/>
    <s v="SEDUZ CAPSULE 10"/>
    <n v="110.54"/>
    <n v="4.5335025000000001E-2"/>
    <n v="2.32134E-4"/>
    <n v="0"/>
    <n v="0"/>
    <n v="0"/>
  </r>
  <r>
    <s v="SEX TONICS &amp; STIMULANTS | V3X2"/>
    <s v="ATTOM"/>
    <x v="26"/>
    <s v="ATTOM CAPSULE 10"/>
    <n v="75"/>
    <n v="3.5865000000000001E-2"/>
    <n v="9.75E-3"/>
    <n v="1.242E-2"/>
    <n v="6.2250000000000001E-4"/>
    <n v="0"/>
  </r>
  <r>
    <s v="SEX TONICS &amp; STIMULANTS | V3X2"/>
    <s v="ATTOM"/>
    <x v="26"/>
    <s v="ATTOM OIL 15 ML"/>
    <n v="268.39999999999998"/>
    <n v="1.178276E-2"/>
    <n v="9.68924E-3"/>
    <n v="7.7567599999999997E-3"/>
    <n v="1.0736000000000001E-3"/>
    <n v="0"/>
  </r>
  <r>
    <s v="SEX TONICS &amp; STIMULANTS | V3X2"/>
    <s v="IGNITOR"/>
    <x v="6"/>
    <s v="IGNITOR TABLET 10"/>
    <n v="201.92"/>
    <n v="0.17274255999999999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AFF78-DB09-3547-98C0-4C4B21AAAB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4:E72" firstHeaderRow="0" firstDataRow="1" firstDataCol="1"/>
  <pivotFields count="10">
    <pivotField showAll="0"/>
    <pivotField showAll="0"/>
    <pivotField axis="axisRow" dataField="1" showAll="0" sortType="descending">
      <items count="28">
        <item x="7"/>
        <item x="2"/>
        <item x="1"/>
        <item x="3"/>
        <item x="21"/>
        <item x="8"/>
        <item x="18"/>
        <item x="0"/>
        <item x="15"/>
        <item x="10"/>
        <item x="9"/>
        <item x="14"/>
        <item x="16"/>
        <item x="24"/>
        <item x="25"/>
        <item x="20"/>
        <item x="19"/>
        <item x="4"/>
        <item x="26"/>
        <item x="5"/>
        <item x="22"/>
        <item x="17"/>
        <item x="13"/>
        <item x="12"/>
        <item x="23"/>
        <item x="11"/>
        <item x="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numFmtId="165" showAll="0"/>
    <pivotField numFmtId="165" showAll="0"/>
    <pivotField numFmtId="165" showAll="0"/>
    <pivotField dataField="1" numFmtId="165" showAll="0"/>
    <pivotField dataField="1" numFmtId="165" showAll="0"/>
  </pivotFields>
  <rowFields count="1">
    <field x="2"/>
  </rowFields>
  <rowItems count="28">
    <i>
      <x v="7"/>
    </i>
    <i>
      <x v="2"/>
    </i>
    <i>
      <x v="17"/>
    </i>
    <i>
      <x v="1"/>
    </i>
    <i>
      <x v="3"/>
    </i>
    <i>
      <x v="26"/>
    </i>
    <i>
      <x v="19"/>
    </i>
    <i>
      <x/>
    </i>
    <i>
      <x v="5"/>
    </i>
    <i>
      <x v="9"/>
    </i>
    <i>
      <x v="10"/>
    </i>
    <i>
      <x v="25"/>
    </i>
    <i>
      <x v="23"/>
    </i>
    <i>
      <x v="22"/>
    </i>
    <i>
      <x v="11"/>
    </i>
    <i>
      <x v="8"/>
    </i>
    <i>
      <x v="12"/>
    </i>
    <i>
      <x v="21"/>
    </i>
    <i>
      <x v="6"/>
    </i>
    <i>
      <x v="16"/>
    </i>
    <i>
      <x v="15"/>
    </i>
    <i>
      <x v="4"/>
    </i>
    <i>
      <x v="20"/>
    </i>
    <i>
      <x v="24"/>
    </i>
    <i>
      <x v="18"/>
    </i>
    <i>
      <x v="14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OMPANY" fld="2" subtotal="count" baseField="0" baseItem="0"/>
    <dataField name="Sum of Sum of MAT VAL DEC 20" fld="8" baseField="0" baseItem="0" numFmtId="2"/>
    <dataField name="Sum of Sum of MAT VAL DEC 21" fld="9" baseField="0" baseItem="0" numFmtId="2"/>
  </dataFields>
  <formats count="1">
    <format dxfId="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923E-C8A7-2E42-8D98-A655F448D0A2}">
  <dimension ref="A1:O107"/>
  <sheetViews>
    <sheetView showGridLines="0" tabSelected="1" zoomScaleNormal="100" workbookViewId="0">
      <selection activeCell="B3" sqref="B3:E3"/>
    </sheetView>
  </sheetViews>
  <sheetFormatPr defaultColWidth="10.8125" defaultRowHeight="15.75"/>
  <cols>
    <col min="1" max="1" width="19.3125" style="87" customWidth="1"/>
    <col min="2" max="2" width="3.8125" style="87" customWidth="1"/>
    <col min="3" max="3" width="19" style="87" customWidth="1"/>
    <col min="4" max="6" width="10.8125" style="87"/>
    <col min="7" max="7" width="3.8125" style="87" customWidth="1"/>
    <col min="8" max="8" width="13.5" style="87" customWidth="1"/>
    <col min="9" max="12" width="10.8125" style="87"/>
    <col min="13" max="13" width="3.8125" style="87" customWidth="1"/>
    <col min="14" max="16384" width="10.8125" style="87"/>
  </cols>
  <sheetData>
    <row r="1" spans="1:15" ht="18">
      <c r="A1" s="92" t="s">
        <v>346</v>
      </c>
      <c r="B1" s="242" t="s">
        <v>238</v>
      </c>
      <c r="C1" s="242"/>
      <c r="D1" s="242"/>
      <c r="E1" s="242"/>
      <c r="K1" s="250" t="s">
        <v>372</v>
      </c>
      <c r="L1" s="250" t="s">
        <v>373</v>
      </c>
    </row>
    <row r="2" spans="1:15" ht="18">
      <c r="A2" s="92" t="s">
        <v>471</v>
      </c>
      <c r="B2" s="242" t="s">
        <v>472</v>
      </c>
      <c r="C2" s="242"/>
      <c r="D2" s="242"/>
      <c r="E2" s="242"/>
      <c r="K2" s="250"/>
      <c r="L2" s="250"/>
    </row>
    <row r="3" spans="1:15" ht="18">
      <c r="A3" s="92" t="s">
        <v>347</v>
      </c>
      <c r="B3" s="242" t="s">
        <v>237</v>
      </c>
      <c r="C3" s="242"/>
      <c r="D3" s="242"/>
      <c r="E3" s="242"/>
      <c r="K3" s="250"/>
      <c r="L3" s="250"/>
    </row>
    <row r="4" spans="1:15" ht="18">
      <c r="A4" s="92" t="s">
        <v>492</v>
      </c>
      <c r="B4" s="242"/>
      <c r="C4" s="242"/>
      <c r="D4" s="242"/>
      <c r="E4" s="242"/>
    </row>
    <row r="5" spans="1:15" ht="7.05" customHeight="1"/>
    <row r="6" spans="1:15">
      <c r="B6"/>
      <c r="C6"/>
      <c r="D6"/>
      <c r="E6"/>
      <c r="F6"/>
      <c r="G6"/>
      <c r="H6"/>
      <c r="I6"/>
      <c r="J6"/>
      <c r="K6"/>
      <c r="L6"/>
      <c r="M6"/>
    </row>
    <row r="7" spans="1:15" s="88" customFormat="1" ht="18">
      <c r="B7" s="86"/>
      <c r="C7" s="243" t="s">
        <v>348</v>
      </c>
      <c r="D7" s="244"/>
      <c r="E7" s="244"/>
      <c r="F7" s="245"/>
      <c r="G7" s="86"/>
      <c r="H7" s="257" t="s">
        <v>351</v>
      </c>
      <c r="I7" s="258"/>
      <c r="J7" s="258"/>
      <c r="K7" s="258"/>
      <c r="L7" s="259"/>
      <c r="M7" s="86"/>
    </row>
    <row r="8" spans="1:15" ht="16.05" customHeight="1">
      <c r="B8"/>
      <c r="C8" s="251" t="s">
        <v>388</v>
      </c>
      <c r="D8" s="252"/>
      <c r="E8" s="252"/>
      <c r="F8" s="253"/>
      <c r="G8"/>
      <c r="H8" s="251" t="s">
        <v>401</v>
      </c>
      <c r="I8" s="252"/>
      <c r="J8" s="252"/>
      <c r="K8" s="252"/>
      <c r="L8" s="253"/>
      <c r="M8"/>
    </row>
    <row r="9" spans="1:15">
      <c r="B9"/>
      <c r="C9" s="251"/>
      <c r="D9" s="252"/>
      <c r="E9" s="252"/>
      <c r="F9" s="253"/>
      <c r="G9"/>
      <c r="H9" s="251"/>
      <c r="I9" s="252"/>
      <c r="J9" s="252"/>
      <c r="K9" s="252"/>
      <c r="L9" s="253"/>
      <c r="M9"/>
    </row>
    <row r="10" spans="1:15" ht="38" customHeight="1">
      <c r="B10"/>
      <c r="C10" s="254"/>
      <c r="D10" s="255"/>
      <c r="E10" s="255"/>
      <c r="F10" s="256"/>
      <c r="G10"/>
      <c r="H10" s="254" t="str">
        <f>CONCATENATE(C101," ",D101," for ",I103," ",J103,"."," Total treatment cost is ",E103," ",ROUND(F103,0)," (",E101," ",ROUND(F101,0)," ",H101," or ",E102," ",ROUND(F102,0)," ",H102)</f>
        <v>3 per day for 45 days. Total treatment cost is INR 3602 (INR 80 per day or INR 2401 per month</v>
      </c>
      <c r="I10" s="255"/>
      <c r="J10" s="255"/>
      <c r="K10" s="255"/>
      <c r="L10" s="256"/>
      <c r="M10"/>
    </row>
    <row r="11" spans="1:15">
      <c r="B11"/>
      <c r="C11"/>
      <c r="D11"/>
      <c r="E11"/>
      <c r="F11"/>
      <c r="G11"/>
      <c r="H11"/>
      <c r="I11"/>
      <c r="J11"/>
      <c r="K11"/>
      <c r="L11"/>
      <c r="M11"/>
    </row>
    <row r="12" spans="1:15" s="88" customFormat="1" ht="18">
      <c r="B12" s="86"/>
      <c r="C12" s="243" t="s">
        <v>349</v>
      </c>
      <c r="D12" s="244"/>
      <c r="E12" s="244"/>
      <c r="F12" s="245"/>
      <c r="G12" s="86"/>
      <c r="H12" s="243" t="s">
        <v>352</v>
      </c>
      <c r="I12" s="244"/>
      <c r="J12" s="244"/>
      <c r="K12" s="244"/>
      <c r="L12" s="245"/>
      <c r="M12" s="86"/>
    </row>
    <row r="13" spans="1:15" ht="16.05" customHeight="1">
      <c r="B13"/>
      <c r="C13" s="251" t="s">
        <v>389</v>
      </c>
      <c r="D13" s="252"/>
      <c r="E13" s="252"/>
      <c r="F13" s="253"/>
      <c r="G13"/>
      <c r="H13" s="251" t="s">
        <v>390</v>
      </c>
      <c r="I13" s="252"/>
      <c r="J13" s="252"/>
      <c r="K13" s="252"/>
      <c r="L13" s="253"/>
      <c r="M13"/>
    </row>
    <row r="14" spans="1:15">
      <c r="B14"/>
      <c r="C14" s="254"/>
      <c r="D14" s="255"/>
      <c r="E14" s="255"/>
      <c r="F14" s="256"/>
      <c r="G14"/>
      <c r="H14" s="254"/>
      <c r="I14" s="255"/>
      <c r="J14" s="255"/>
      <c r="K14" s="255"/>
      <c r="L14" s="256"/>
      <c r="M14"/>
    </row>
    <row r="15" spans="1:15">
      <c r="B15"/>
      <c r="C15"/>
      <c r="D15"/>
      <c r="E15"/>
      <c r="F15"/>
      <c r="G15"/>
      <c r="H15"/>
      <c r="I15"/>
      <c r="J15"/>
      <c r="K15"/>
      <c r="L15"/>
      <c r="M15"/>
    </row>
    <row r="16" spans="1:15" s="88" customFormat="1" ht="18">
      <c r="B16" s="86"/>
      <c r="C16" s="89" t="s">
        <v>510</v>
      </c>
      <c r="D16" s="246" t="s">
        <v>362</v>
      </c>
      <c r="E16" s="246"/>
      <c r="F16" s="91"/>
      <c r="G16" s="86"/>
      <c r="H16" s="89" t="s">
        <v>504</v>
      </c>
      <c r="I16" s="90"/>
      <c r="J16" s="90"/>
      <c r="K16" s="90"/>
      <c r="L16" s="91"/>
      <c r="M16" s="86"/>
      <c r="N16" s="241"/>
      <c r="O16" s="241"/>
    </row>
    <row r="17" spans="2:15">
      <c r="B17"/>
      <c r="C17" s="247" t="s">
        <v>363</v>
      </c>
      <c r="D17" s="248"/>
      <c r="E17" s="248"/>
      <c r="F17" s="249"/>
      <c r="G17"/>
      <c r="H17" s="237"/>
      <c r="I17" s="238"/>
      <c r="J17" s="238"/>
      <c r="K17" s="238"/>
      <c r="L17" s="239"/>
      <c r="M17"/>
      <c r="N17" s="241"/>
      <c r="O17" s="241"/>
    </row>
    <row r="18" spans="2:15">
      <c r="B18"/>
      <c r="C18" s="85"/>
      <c r="D18" s="85"/>
      <c r="E18" s="85"/>
      <c r="F18" s="85"/>
      <c r="G18"/>
      <c r="H18" s="111"/>
      <c r="I18" s="111"/>
      <c r="J18" s="111"/>
      <c r="K18" s="111"/>
      <c r="L18" s="111"/>
      <c r="M18"/>
    </row>
    <row r="19" spans="2:15" ht="18">
      <c r="B19"/>
      <c r="C19" s="89" t="s">
        <v>350</v>
      </c>
      <c r="D19" s="246"/>
      <c r="E19" s="246"/>
      <c r="F19" s="91"/>
      <c r="G19"/>
      <c r="H19" s="89" t="s">
        <v>503</v>
      </c>
      <c r="I19" s="143"/>
      <c r="J19" s="240"/>
      <c r="K19" s="240"/>
      <c r="L19" s="91"/>
      <c r="M19"/>
    </row>
    <row r="20" spans="2:15">
      <c r="B20"/>
      <c r="C20" s="247" t="str">
        <f>A106&amp;" "&amp;B106&amp;" and "&amp;A107&amp;" "&amp;B107</f>
        <v>10 tabs and 20 tabs</v>
      </c>
      <c r="D20" s="248"/>
      <c r="E20" s="248"/>
      <c r="F20" s="249"/>
      <c r="G20"/>
      <c r="H20" s="237" t="s">
        <v>391</v>
      </c>
      <c r="I20" s="238"/>
      <c r="J20" s="238"/>
      <c r="K20" s="238"/>
      <c r="L20" s="239"/>
      <c r="M20"/>
    </row>
    <row r="21" spans="2:15">
      <c r="B21"/>
      <c r="C21" s="85"/>
      <c r="D21" s="85"/>
      <c r="E21" s="85"/>
      <c r="F21" s="85"/>
      <c r="G21"/>
      <c r="H21" s="111"/>
      <c r="I21" s="111"/>
      <c r="J21" s="111"/>
      <c r="K21" s="111"/>
      <c r="L21" s="111"/>
      <c r="M21"/>
    </row>
    <row r="22" spans="2:15">
      <c r="B22"/>
      <c r="C22" s="85"/>
      <c r="D22" s="85"/>
      <c r="E22" s="85"/>
      <c r="F22" s="85"/>
      <c r="G22"/>
      <c r="H22"/>
      <c r="I22"/>
      <c r="J22"/>
      <c r="K22"/>
      <c r="L22"/>
      <c r="M22"/>
    </row>
    <row r="100" spans="1:10">
      <c r="A100" s="145" t="s">
        <v>375</v>
      </c>
      <c r="C100" s="147" t="s">
        <v>402</v>
      </c>
      <c r="F100" s="147" t="s">
        <v>409</v>
      </c>
    </row>
    <row r="101" spans="1:10">
      <c r="A101" s="147" t="s">
        <v>403</v>
      </c>
      <c r="C101" s="148">
        <v>3</v>
      </c>
      <c r="D101" s="87" t="s">
        <v>410</v>
      </c>
      <c r="E101" s="87" t="str">
        <f>E102</f>
        <v>INR</v>
      </c>
      <c r="F101" s="146">
        <f>E106*C101</f>
        <v>80.043000000000006</v>
      </c>
      <c r="H101" s="87" t="s">
        <v>410</v>
      </c>
    </row>
    <row r="102" spans="1:10">
      <c r="A102" s="147" t="s">
        <v>404</v>
      </c>
      <c r="B102" s="87">
        <v>1.5</v>
      </c>
      <c r="C102" s="87">
        <f>(B102*30)*C101</f>
        <v>135</v>
      </c>
      <c r="D102" s="87" t="s">
        <v>405</v>
      </c>
      <c r="E102" s="87" t="str">
        <f>E103</f>
        <v>INR</v>
      </c>
      <c r="F102" s="146">
        <f>(C102/B102)*E106</f>
        <v>2401.29</v>
      </c>
      <c r="H102" s="87" t="s">
        <v>411</v>
      </c>
    </row>
    <row r="103" spans="1:10">
      <c r="A103" s="147" t="s">
        <v>406</v>
      </c>
      <c r="B103" s="87">
        <v>0</v>
      </c>
      <c r="C103" s="87">
        <f>B103*365*C101</f>
        <v>0</v>
      </c>
      <c r="D103" s="87" t="s">
        <v>405</v>
      </c>
      <c r="E103" s="87" t="str">
        <f>D106</f>
        <v>INR</v>
      </c>
      <c r="F103" s="146">
        <f>C102*E106</f>
        <v>3601.9349999999999</v>
      </c>
      <c r="H103" s="87" t="s">
        <v>78</v>
      </c>
      <c r="I103" s="87">
        <f>B102*30</f>
        <v>45</v>
      </c>
      <c r="J103" s="87" t="s">
        <v>413</v>
      </c>
    </row>
    <row r="105" spans="1:10">
      <c r="A105" s="147" t="s">
        <v>408</v>
      </c>
      <c r="C105" s="147" t="s">
        <v>352</v>
      </c>
    </row>
    <row r="106" spans="1:10">
      <c r="A106" s="148">
        <v>10</v>
      </c>
      <c r="B106" s="87" t="s">
        <v>407</v>
      </c>
      <c r="C106" s="148">
        <v>266.81</v>
      </c>
      <c r="D106" s="87" t="s">
        <v>412</v>
      </c>
      <c r="E106" s="146">
        <f>C106/A106</f>
        <v>26.681000000000001</v>
      </c>
    </row>
    <row r="107" spans="1:10">
      <c r="A107" s="148">
        <v>20</v>
      </c>
      <c r="B107" s="87" t="s">
        <v>407</v>
      </c>
      <c r="C107" s="148">
        <v>577</v>
      </c>
      <c r="D107" s="87" t="s">
        <v>412</v>
      </c>
      <c r="E107" s="146">
        <f>C107/A107</f>
        <v>28.85</v>
      </c>
    </row>
  </sheetData>
  <mergeCells count="23">
    <mergeCell ref="B1:E1"/>
    <mergeCell ref="B3:E3"/>
    <mergeCell ref="C8:F10"/>
    <mergeCell ref="H7:L7"/>
    <mergeCell ref="H12:L12"/>
    <mergeCell ref="H8:L9"/>
    <mergeCell ref="H10:L10"/>
    <mergeCell ref="H20:L20"/>
    <mergeCell ref="J19:K19"/>
    <mergeCell ref="N16:O17"/>
    <mergeCell ref="B2:E2"/>
    <mergeCell ref="C7:F7"/>
    <mergeCell ref="C12:F12"/>
    <mergeCell ref="D19:E19"/>
    <mergeCell ref="C20:F20"/>
    <mergeCell ref="B4:E4"/>
    <mergeCell ref="D16:E16"/>
    <mergeCell ref="L1:L3"/>
    <mergeCell ref="C17:F17"/>
    <mergeCell ref="H13:L14"/>
    <mergeCell ref="H17:L17"/>
    <mergeCell ref="K1:K3"/>
    <mergeCell ref="C13:F14"/>
  </mergeCells>
  <conditionalFormatting sqref="B1 B3:B4">
    <cfRule type="cellIs" dxfId="83" priority="25" operator="equal">
      <formula>0</formula>
    </cfRule>
  </conditionalFormatting>
  <conditionalFormatting sqref="C8:F10">
    <cfRule type="cellIs" dxfId="82" priority="23" operator="equal">
      <formula>""""""</formula>
    </cfRule>
    <cfRule type="cellIs" dxfId="81" priority="24" operator="equal">
      <formula>"Add details of main ingredients"</formula>
    </cfRule>
  </conditionalFormatting>
  <conditionalFormatting sqref="C13:F14">
    <cfRule type="cellIs" dxfId="80" priority="20" operator="equal">
      <formula>""</formula>
    </cfRule>
    <cfRule type="cellIs" dxfId="79" priority="22" operator="equal">
      <formula>"Describe use of the drug"</formula>
    </cfRule>
  </conditionalFormatting>
  <conditionalFormatting sqref="C17:F17">
    <cfRule type="cellIs" dxfId="78" priority="1" operator="equal">
      <formula>"(Mechanism of Action)"</formula>
    </cfRule>
  </conditionalFormatting>
  <conditionalFormatting sqref="C20:F20">
    <cfRule type="cellIs" dxfId="77" priority="4" operator="equal">
      <formula>""</formula>
    </cfRule>
    <cfRule type="cellIs" dxfId="76" priority="5" operator="equal">
      <formula>"Quantity and type of packaging"</formula>
    </cfRule>
  </conditionalFormatting>
  <conditionalFormatting sqref="C21:F21">
    <cfRule type="cellIs" dxfId="75" priority="14" operator="equal">
      <formula>"(Mechanism of Action)"</formula>
    </cfRule>
  </conditionalFormatting>
  <conditionalFormatting sqref="H8 H10">
    <cfRule type="cellIs" dxfId="74" priority="16" stopIfTrue="1" operator="equal">
      <formula>""</formula>
    </cfRule>
  </conditionalFormatting>
  <conditionalFormatting sqref="H8:L9">
    <cfRule type="cellIs" dxfId="73" priority="7" operator="equal">
      <formula>"Provide details of typical dosage and duration of treatment, by clicking on the sub heading link"</formula>
    </cfRule>
  </conditionalFormatting>
  <conditionalFormatting sqref="H13:L14">
    <cfRule type="cellIs" dxfId="72" priority="10" operator="equal">
      <formula>""</formula>
    </cfRule>
    <cfRule type="cellIs" dxfId="71" priority="11" operator="equal">
      <formula>"Provide MRP of drug"</formula>
    </cfRule>
  </conditionalFormatting>
  <conditionalFormatting sqref="H17:L17">
    <cfRule type="cellIs" dxfId="70" priority="8" operator="equal">
      <formula>""</formula>
    </cfRule>
  </conditionalFormatting>
  <conditionalFormatting sqref="H20:L20">
    <cfRule type="cellIs" dxfId="69" priority="2" operator="equal">
      <formula>""</formula>
    </cfRule>
    <cfRule type="cellIs" dxfId="68" priority="3" operator="equal">
      <formula>"Enter previous year sales"</formula>
    </cfRule>
  </conditionalFormatting>
  <conditionalFormatting sqref="H21:L21">
    <cfRule type="cellIs" dxfId="67" priority="12" operator="equal">
      <formula>"(Mechanism of Action)"</formula>
    </cfRule>
  </conditionalFormatting>
  <dataValidations count="5">
    <dataValidation type="list" allowBlank="1" showInputMessage="1" showErrorMessage="1" sqref="D102:D103" xr:uid="{FAEEE693-9377-AD4B-B961-8C9C6A9896DD}">
      <formula1>"tablets, ml"</formula1>
    </dataValidation>
    <dataValidation type="list" allowBlank="1" showInputMessage="1" showErrorMessage="1" sqref="B106:B108" xr:uid="{BCB05788-DDE9-1E44-A6B4-E8128F4865CE}">
      <formula1>"tabs, ml"</formula1>
    </dataValidation>
    <dataValidation type="list" allowBlank="1" showInputMessage="1" showErrorMessage="1" sqref="D108" xr:uid="{294E35BD-1B9D-6E46-A6A7-4E00848E2E57}">
      <formula1>"Rs., USD, GBP, EU"</formula1>
    </dataValidation>
    <dataValidation type="list" allowBlank="1" showInputMessage="1" showErrorMessage="1" sqref="D106:D107" xr:uid="{B3213DCB-9A3F-8040-8968-DCB9A76C41CD}">
      <formula1>"INR, USD, GBP, EU"</formula1>
    </dataValidation>
    <dataValidation type="list" allowBlank="1" showInputMessage="1" showErrorMessage="1" sqref="B2:E2" xr:uid="{766242D0-CFCF-B849-AE28-C83D8BC431F4}">
      <formula1>"Innovator, Generic"</formula1>
    </dataValidation>
  </dataValidations>
  <hyperlinks>
    <hyperlink ref="K1:K3" location="Contents!A1" display="Contents!A1" xr:uid="{B6F01DF6-8977-E249-A0F4-96CB5C0AC544}"/>
    <hyperlink ref="L1:L3" location="'Environment Understanding'!A1" display="'Environment Understanding'!A1" xr:uid="{5BDA88EA-2EC6-DF4E-B76F-5EE0A97C755F}"/>
    <hyperlink ref="H7:L7" location="'Product Orientation'!B110" display="Doses &amp; Duration of Treatment" xr:uid="{68877140-D0BB-C243-B14F-A12682298FDB}"/>
    <hyperlink ref="A100" location="'Product Orientation'!A1" display="&lt; Back" xr:uid="{2F410276-0030-A44A-855D-60B7814E4F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8630-016B-CC43-B626-DAB91DB08158}">
  <dimension ref="A1:AI62"/>
  <sheetViews>
    <sheetView zoomScale="70" zoomScaleNormal="70" workbookViewId="0">
      <selection activeCell="I2" sqref="I2"/>
    </sheetView>
  </sheetViews>
  <sheetFormatPr defaultColWidth="10.8125" defaultRowHeight="15.75"/>
  <cols>
    <col min="1" max="1" width="5.8125" style="55" customWidth="1"/>
    <col min="2" max="2" width="20.8125" style="60" customWidth="1"/>
    <col min="3" max="9" width="20.8125" style="55" customWidth="1"/>
    <col min="10" max="12" width="10.8125" style="55"/>
    <col min="13" max="13" width="12.3125" style="55" bestFit="1" customWidth="1"/>
    <col min="14" max="29" width="10.8125" style="55"/>
    <col min="30" max="30" width="1.6875" style="55" customWidth="1"/>
    <col min="31" max="16384" width="10.8125" style="55"/>
  </cols>
  <sheetData>
    <row r="1" spans="1:35" ht="18.399999999999999" thickBot="1">
      <c r="A1" s="264" t="s">
        <v>358</v>
      </c>
      <c r="B1" s="264"/>
      <c r="C1" s="264"/>
      <c r="D1" s="264"/>
      <c r="E1" s="264"/>
      <c r="F1" s="264"/>
      <c r="G1" s="264"/>
      <c r="H1" s="264"/>
      <c r="I1" s="264"/>
      <c r="J1" s="24"/>
      <c r="K1" s="24"/>
      <c r="L1" s="24"/>
    </row>
    <row r="2" spans="1:35" s="127" customFormat="1" ht="30" customHeight="1">
      <c r="A2" s="265" t="s">
        <v>1</v>
      </c>
      <c r="B2" s="124" t="s">
        <v>0</v>
      </c>
      <c r="C2" s="125" t="str">
        <f>ROUND((B58/10^9),2)&amp;" Bn ("&amp;ROUND((((B58-C58)/C58)*100),1)&amp;"%)"</f>
        <v>1.44 Bn (0.7%)</v>
      </c>
      <c r="D2" s="126" t="s">
        <v>2</v>
      </c>
      <c r="E2" s="121">
        <f>D58</f>
        <v>0.36799999999999999</v>
      </c>
      <c r="F2" s="126" t="s">
        <v>3</v>
      </c>
      <c r="G2" s="121">
        <f>E58</f>
        <v>0.63200000000000001</v>
      </c>
      <c r="H2" s="126" t="s">
        <v>448</v>
      </c>
      <c r="I2" s="157" t="s">
        <v>469</v>
      </c>
      <c r="J2" s="277" t="s">
        <v>8</v>
      </c>
      <c r="K2" s="278"/>
      <c r="L2" s="278"/>
      <c r="AA2" s="189" t="str">
        <f>D59</f>
        <v>Yes</v>
      </c>
      <c r="AB2" s="190" t="str" cm="1">
        <f t="array" ref="AB2">_xlfn.IFS(E2&lt;30%,"Low",E2&lt;60%,"Medium",E2&gt;60%,"High")</f>
        <v>Medium</v>
      </c>
      <c r="AC2" s="191" t="str">
        <f>I2</f>
        <v>High</v>
      </c>
      <c r="AE2" s="127">
        <f>IF(AA2="Yes",1,0)</f>
        <v>1</v>
      </c>
      <c r="AF2" s="127" cm="1">
        <f t="array" ref="AF2">_xlfn.IFS(AB2="Low",0,AB2="Medium",0.5,AB2="High",1)</f>
        <v>0.5</v>
      </c>
      <c r="AG2" s="127" cm="1">
        <f t="array" ref="AG2">_xlfn.IFS(AC2="Low to none",0,AC2="moderate",0.5,AC2="High",1)</f>
        <v>1</v>
      </c>
    </row>
    <row r="3" spans="1:35" s="127" customFormat="1" ht="30" customHeight="1">
      <c r="A3" s="266"/>
      <c r="B3" s="122" t="s">
        <v>4</v>
      </c>
      <c r="C3" s="123" t="str">
        <f>"$"&amp;F58&amp;" Tr ("&amp;ROUND(((F58-G58)/G58)*100,1)&amp;"%)"</f>
        <v>$27.36 Tr (7.3%)</v>
      </c>
      <c r="D3" s="128" t="s">
        <v>483</v>
      </c>
      <c r="E3" s="135">
        <f>H58</f>
        <v>8230</v>
      </c>
      <c r="F3" s="128"/>
      <c r="G3" s="123"/>
      <c r="H3" s="128"/>
      <c r="I3" s="129"/>
      <c r="J3" s="279"/>
      <c r="K3" s="280"/>
      <c r="L3" s="280"/>
      <c r="AA3" s="192" t="str">
        <f>D59</f>
        <v>Yes</v>
      </c>
      <c r="AB3" s="127" t="str">
        <f>H60</f>
        <v>No</v>
      </c>
      <c r="AC3" s="193"/>
      <c r="AE3" s="127">
        <f>IF(AA3="Yes",1,0)</f>
        <v>1</v>
      </c>
      <c r="AF3" s="127">
        <f>IF(AB3="Yes",1,0)</f>
        <v>0</v>
      </c>
      <c r="AI3" s="127">
        <f>SUM(AE2:AG5)</f>
        <v>7</v>
      </c>
    </row>
    <row r="4" spans="1:35" s="127" customFormat="1" ht="30" customHeight="1">
      <c r="A4" s="266"/>
      <c r="B4" s="120" t="s">
        <v>5</v>
      </c>
      <c r="C4" s="121" t="s">
        <v>484</v>
      </c>
      <c r="D4" s="128" t="s">
        <v>111</v>
      </c>
      <c r="E4" s="123" t="s">
        <v>489</v>
      </c>
      <c r="F4" s="130" t="s">
        <v>6</v>
      </c>
      <c r="G4" s="166" t="s">
        <v>486</v>
      </c>
      <c r="H4" s="130"/>
      <c r="I4" s="131"/>
      <c r="J4" s="279"/>
      <c r="K4" s="280"/>
      <c r="L4" s="280"/>
      <c r="AA4" s="194" t="str">
        <f>C4</f>
        <v>Strong</v>
      </c>
      <c r="AB4" s="127" t="str">
        <f>E4</f>
        <v>Out of Pocket</v>
      </c>
      <c r="AC4" s="195" t="str">
        <f>G4</f>
        <v>&gt;30%</v>
      </c>
      <c r="AE4" s="127" cm="1">
        <f t="array" ref="AE4">_xlfn.IFS(AA4="Weak",0,AA4="moderate",0.5,AA4="Strong",1)</f>
        <v>1</v>
      </c>
      <c r="AF4" s="127" cm="1">
        <f t="array" ref="AF4">_xlfn.IFS(AB4="out of pocket",0,AB4="partial",0.5,AB4="full",1)</f>
        <v>0</v>
      </c>
      <c r="AG4" s="127" cm="1">
        <f t="array" ref="AG4">_xlfn.IFS(AC4="&lt;30%",0,AC4=30%,0.5,AC4="&gt;30%",1)</f>
        <v>1</v>
      </c>
    </row>
    <row r="5" spans="1:35" s="127" customFormat="1" ht="30" customHeight="1" thickBot="1">
      <c r="A5" s="267"/>
      <c r="B5" s="122" t="s">
        <v>7</v>
      </c>
      <c r="C5" s="123" t="str">
        <f>"$"&amp;I58&amp;" Bn ("&amp;TEXT(J58,"0.0%")&amp;")"</f>
        <v>$54.6 Bn (12.3%)</v>
      </c>
      <c r="D5" s="130" t="s">
        <v>487</v>
      </c>
      <c r="E5" s="123" t="s">
        <v>488</v>
      </c>
      <c r="F5" s="123"/>
      <c r="G5" s="123"/>
      <c r="H5" s="123"/>
      <c r="I5" s="129"/>
      <c r="J5" s="260" t="str" cm="1">
        <f t="array" ref="J5">_xlfn.IFS(AI3&gt;=6.5,"Yes",AI3&lt;=6.5,"Moderate",AI3&lt;5,"No")</f>
        <v>Yes</v>
      </c>
      <c r="K5" s="261"/>
      <c r="L5" s="261"/>
      <c r="AA5" s="196" t="str">
        <f>J60</f>
        <v>Yes</v>
      </c>
      <c r="AB5" s="197" t="str" cm="1">
        <f t="array" ref="AB5">_xlfn.IFS(E5="Innovators Dominate","Innovator",E5="Generics Dominate","Generic",E5="Balanced","Balanced")</f>
        <v>Balanced</v>
      </c>
      <c r="AC5" s="198" t="str">
        <f>'Product Orientation'!B2</f>
        <v>Innovator</v>
      </c>
      <c r="AE5" s="127">
        <f t="shared" ref="AE5" si="0">IF(AA5="Yes",1,0)</f>
        <v>1</v>
      </c>
      <c r="AF5" s="199">
        <f>IF(AB5="Balanced",0.5,IF(AB5=AC5,1,0))</f>
        <v>0.5</v>
      </c>
    </row>
    <row r="6" spans="1:35" s="127" customFormat="1" ht="30" customHeight="1">
      <c r="A6" s="268" t="s">
        <v>115</v>
      </c>
      <c r="B6" s="274" t="s">
        <v>430</v>
      </c>
      <c r="C6" s="275"/>
      <c r="D6" s="275"/>
      <c r="E6" s="275"/>
      <c r="F6" s="275"/>
      <c r="G6" s="275"/>
      <c r="H6" s="275"/>
      <c r="I6" s="286"/>
      <c r="J6" s="277" t="s">
        <v>9</v>
      </c>
      <c r="K6" s="278"/>
      <c r="L6" s="278"/>
    </row>
    <row r="7" spans="1:35" s="127" customFormat="1" ht="30" customHeight="1">
      <c r="A7" s="269"/>
      <c r="B7" s="122" t="s">
        <v>425</v>
      </c>
      <c r="C7" s="123" t="s">
        <v>470</v>
      </c>
      <c r="D7" s="128" t="s">
        <v>427</v>
      </c>
      <c r="E7" s="123" t="s">
        <v>480</v>
      </c>
      <c r="F7" s="128"/>
      <c r="G7" s="123"/>
      <c r="H7" s="128"/>
      <c r="I7" s="129"/>
      <c r="J7" s="279"/>
      <c r="K7" s="280"/>
      <c r="L7" s="280"/>
    </row>
    <row r="8" spans="1:35" s="127" customFormat="1" ht="30" customHeight="1">
      <c r="A8" s="269"/>
      <c r="B8" s="122" t="s">
        <v>426</v>
      </c>
      <c r="C8" s="123" t="s">
        <v>480</v>
      </c>
      <c r="D8" s="128" t="s">
        <v>447</v>
      </c>
      <c r="E8" s="123" t="s">
        <v>469</v>
      </c>
      <c r="F8" s="130"/>
      <c r="G8" s="123"/>
      <c r="H8" s="128"/>
      <c r="I8" s="129"/>
      <c r="J8" s="279"/>
      <c r="K8" s="280"/>
      <c r="L8" s="280"/>
    </row>
    <row r="9" spans="1:35" s="127" customFormat="1" ht="30" customHeight="1" thickBot="1">
      <c r="A9" s="269"/>
      <c r="B9" s="156" t="s">
        <v>116</v>
      </c>
      <c r="C9" s="132" t="s">
        <v>480</v>
      </c>
      <c r="D9" s="169"/>
      <c r="E9" s="132"/>
      <c r="F9" s="169"/>
      <c r="G9" s="132"/>
      <c r="H9" s="169"/>
      <c r="I9" s="133"/>
      <c r="J9" s="260" t="str" cm="1">
        <f t="array" ref="J9">_xlfn.IFS((COUNTIF(C7:E9,"High")*5)+(COUNTIF(C7:E9,"MODERATE")*3)+COUNTIF(C7:E9,"LOW TO NONE")&lt;12,"No",(COUNTIF(C7:E9,"High")*5)+(COUNTIF(C7:E9,"MODERATE")*3)+COUNTIF(C7:E9,"LOW TO NONE")&gt;18,"Yes",(COUNTIF(C7:E9,"High")*5)+(COUNTIF(C7:E9,"MODERATE")*3)+COUNTIF(C7:E9,"LOW TO NONE")&gt;12,"Moderate")</f>
        <v>No</v>
      </c>
      <c r="K9" s="261"/>
      <c r="L9" s="261"/>
    </row>
    <row r="10" spans="1:35" s="127" customFormat="1" ht="30" customHeight="1">
      <c r="A10" s="270" t="s">
        <v>10</v>
      </c>
      <c r="B10" s="122" t="s">
        <v>11</v>
      </c>
      <c r="C10" s="167" t="str">
        <f>ROUND('Top Brand'!J19,1)&amp;" Cr "&amp;TEXT('Top Brand'!T34,"0%")&amp;"GR"</f>
        <v>139.3 Cr 8%GR</v>
      </c>
      <c r="D10" s="168"/>
      <c r="E10" s="123"/>
      <c r="F10" s="273" t="s">
        <v>434</v>
      </c>
      <c r="G10" s="288" t="str">
        <f>'Contested Cat.'!P37&amp;CHAR(10)&amp;'Contested Cat.'!P38&amp;CHAR(10)&amp;'Contested Cat.'!P39</f>
        <v>TENTEX FORTE (HIMALAYA) ~25Cr ~7% GR ~18% MS
CONFIDO (HIMALAYA) ~21Cr ~4% GR ~15% MS
ADDYZOA (CHARAK) ~13Cr ~6% GR ~9% MS</v>
      </c>
      <c r="H10" s="288"/>
      <c r="I10" s="289"/>
      <c r="J10" s="277" t="s">
        <v>12</v>
      </c>
      <c r="K10" s="278"/>
      <c r="L10" s="278"/>
      <c r="AA10" s="189" t="str" cm="1">
        <f t="array" ref="AA10">_xlfn.IFS('AWACS input'!D3&gt;500,"Medium",'AWACS input'!D3&gt;1000,"High",'AWACS input'!D3&lt;500,"Low")</f>
        <v>Low</v>
      </c>
      <c r="AB10" s="191" t="str">
        <f>IF('AWACS input'!D4&gt;'Environment Understanding'!J58,"Yes","No")</f>
        <v>No</v>
      </c>
      <c r="AE10" s="127" cm="1">
        <f t="array" ref="AE10">_xlfn.IFS(AA10="High",5,AA10="Medium",3,AA10="Low",1)</f>
        <v>1</v>
      </c>
      <c r="AF10" s="127">
        <f>IF(AB10="Yes",1,0)</f>
        <v>0</v>
      </c>
      <c r="AH10" s="127">
        <f>SUM(AE10:AF11)</f>
        <v>7</v>
      </c>
    </row>
    <row r="11" spans="1:35" s="127" customFormat="1" ht="30" customHeight="1" thickBot="1">
      <c r="A11" s="271"/>
      <c r="B11" s="276" t="s">
        <v>445</v>
      </c>
      <c r="C11" s="288" t="str">
        <f>'Top Brand'!L45&amp;CHAR(10)&amp;'Top Brand'!L46&amp;CHAR(10)&amp;'Top Brand'!L47</f>
        <v>HIMALAYA ~63.4Cr ~2%GR ~45%MS
CHARAK ~20.2Cr ~5%GR ~15%MS
SANZYME ~9.6Cr ~33%GR ~7%MS</v>
      </c>
      <c r="D11" s="288"/>
      <c r="E11" s="288"/>
      <c r="F11" s="273"/>
      <c r="G11" s="288"/>
      <c r="H11" s="288"/>
      <c r="I11" s="289"/>
      <c r="J11" s="279"/>
      <c r="K11" s="280"/>
      <c r="L11" s="280"/>
      <c r="AA11" s="196" cm="1">
        <f t="array" ref="AA11">_xlfn.IFS(D13="monopoly",0,D13="Oligopoly",1,D13="Fragmented",3)</f>
        <v>1</v>
      </c>
      <c r="AB11" s="198" cm="1">
        <f t="array" ref="AB11">_xlfn.IFS(G13="policy has brand name",5,G13="policy has molecule",3,G13="No policy",1,G13="policy favours other molecule",0)</f>
        <v>5</v>
      </c>
      <c r="AE11" s="127">
        <f>AA11</f>
        <v>1</v>
      </c>
      <c r="AF11" s="127">
        <f>AB11</f>
        <v>5</v>
      </c>
    </row>
    <row r="12" spans="1:35" s="127" customFormat="1" ht="30" customHeight="1">
      <c r="A12" s="271"/>
      <c r="B12" s="276"/>
      <c r="C12" s="288"/>
      <c r="D12" s="288"/>
      <c r="E12" s="288"/>
      <c r="F12" s="163" t="s">
        <v>435</v>
      </c>
      <c r="G12" s="123" t="str">
        <f>'Contested Cat.'!P11</f>
        <v>~42 Brands</v>
      </c>
      <c r="H12" s="123"/>
      <c r="I12" s="129"/>
      <c r="J12" s="279"/>
      <c r="K12" s="280"/>
      <c r="L12" s="280"/>
    </row>
    <row r="13" spans="1:35" s="127" customFormat="1" ht="30" customHeight="1" thickBot="1">
      <c r="A13" s="272"/>
      <c r="B13" s="156" t="s">
        <v>444</v>
      </c>
      <c r="C13" s="162">
        <f>'AWACS input'!D6</f>
        <v>27</v>
      </c>
      <c r="D13" s="165" t="str">
        <f>'Top Brand'!I49</f>
        <v>Oligopoly</v>
      </c>
      <c r="E13" s="132"/>
      <c r="F13" s="164" t="s">
        <v>446</v>
      </c>
      <c r="G13" s="287" t="s">
        <v>490</v>
      </c>
      <c r="H13" s="287"/>
      <c r="I13" s="133"/>
      <c r="J13" s="260" t="str" cm="1">
        <f t="array" ref="J13">_xlfn.IFS(AH10&gt;8,"Yes",AH10&gt;6,"Moderate",AH10&lt;6,"No")</f>
        <v>Moderate</v>
      </c>
      <c r="K13" s="261"/>
      <c r="L13" s="261"/>
    </row>
    <row r="14" spans="1:35" s="127" customFormat="1" ht="30" customHeight="1">
      <c r="A14" s="281" t="s">
        <v>449</v>
      </c>
      <c r="B14" s="274" t="s">
        <v>495</v>
      </c>
      <c r="C14" s="284"/>
      <c r="D14" s="285" t="s">
        <v>494</v>
      </c>
      <c r="E14" s="284"/>
      <c r="F14" s="285" t="s">
        <v>429</v>
      </c>
      <c r="G14" s="284"/>
      <c r="H14" s="275"/>
      <c r="I14" s="286"/>
      <c r="J14" s="277" t="s">
        <v>518</v>
      </c>
      <c r="K14" s="278"/>
      <c r="L14" s="278"/>
    </row>
    <row r="15" spans="1:35" s="127" customFormat="1" ht="30" customHeight="1">
      <c r="A15" s="282"/>
      <c r="B15" s="122" t="s">
        <v>431</v>
      </c>
      <c r="C15" s="157" t="s">
        <v>470</v>
      </c>
      <c r="D15" s="158" t="s">
        <v>432</v>
      </c>
      <c r="E15" s="157" t="s">
        <v>469</v>
      </c>
      <c r="F15" s="158" t="s">
        <v>433</v>
      </c>
      <c r="G15" s="157" t="s">
        <v>469</v>
      </c>
      <c r="H15" s="128"/>
      <c r="I15" s="157"/>
      <c r="J15" s="279"/>
      <c r="K15" s="280"/>
      <c r="L15" s="280"/>
    </row>
    <row r="16" spans="1:35" s="127" customFormat="1" ht="30" customHeight="1">
      <c r="A16" s="282"/>
      <c r="B16" s="122" t="s">
        <v>418</v>
      </c>
      <c r="C16" s="157" t="s">
        <v>470</v>
      </c>
      <c r="D16" s="158" t="s">
        <v>420</v>
      </c>
      <c r="E16" s="157" t="s">
        <v>469</v>
      </c>
      <c r="F16" s="159" t="s">
        <v>423</v>
      </c>
      <c r="G16" s="157" t="s">
        <v>469</v>
      </c>
      <c r="H16" s="128"/>
      <c r="I16" s="157"/>
      <c r="J16" s="279"/>
      <c r="K16" s="280"/>
      <c r="L16" s="280"/>
    </row>
    <row r="17" spans="1:12" s="127" customFormat="1" ht="30" customHeight="1">
      <c r="A17" s="282"/>
      <c r="B17" s="122" t="s">
        <v>419</v>
      </c>
      <c r="C17" s="157" t="s">
        <v>469</v>
      </c>
      <c r="D17" s="158" t="s">
        <v>421</v>
      </c>
      <c r="E17" s="157" t="s">
        <v>469</v>
      </c>
      <c r="F17" s="158" t="s">
        <v>424</v>
      </c>
      <c r="G17" s="157" t="s">
        <v>469</v>
      </c>
      <c r="H17" s="128"/>
      <c r="I17" s="157"/>
      <c r="J17" s="279"/>
      <c r="K17" s="280"/>
      <c r="L17" s="280"/>
    </row>
    <row r="18" spans="1:12" s="127" customFormat="1" ht="30" customHeight="1">
      <c r="A18" s="282"/>
      <c r="B18" s="122" t="s">
        <v>493</v>
      </c>
      <c r="C18" s="157" t="s">
        <v>469</v>
      </c>
      <c r="D18" s="158" t="s">
        <v>422</v>
      </c>
      <c r="E18" s="157" t="s">
        <v>469</v>
      </c>
      <c r="F18" s="158"/>
      <c r="G18" s="157"/>
      <c r="H18" s="128"/>
      <c r="I18" s="157"/>
      <c r="J18" s="260" t="str" cm="1">
        <f t="array" ref="J18">_xlfn.IFS((COUNTIF(C15:G19,"High")*5)+(COUNTIF(C15:G19,"MODERATE")*3)+COUNTIF(C15:G19,"LOW TO NONE")&lt;22,"No",(COUNTIF(C15:G19,"High")*5)+(COUNTIF(C15:G19,"MODERATE")*3)+COUNTIF(C15:G19,"LOW TO NONE")&gt;44,"Yes",(COUNTIF(C15:G19,"High")*5)+(COUNTIF(C15:G19,"MODERATE")*3)+COUNTIF(C15:G19,"LOW TO NONE")&gt;22,"Moderate")</f>
        <v>Yes</v>
      </c>
      <c r="K18" s="261"/>
      <c r="L18" s="261"/>
    </row>
    <row r="19" spans="1:12" s="127" customFormat="1" ht="30" customHeight="1" thickBot="1">
      <c r="A19" s="283"/>
      <c r="B19" s="122"/>
      <c r="C19" s="157"/>
      <c r="D19" s="158"/>
      <c r="E19" s="157"/>
      <c r="F19" s="158"/>
      <c r="G19" s="157"/>
      <c r="H19" s="128"/>
      <c r="I19" s="157"/>
      <c r="J19" s="260"/>
      <c r="K19" s="261"/>
      <c r="L19" s="261"/>
    </row>
    <row r="20" spans="1:12" ht="16.05" customHeight="1">
      <c r="B20" s="119" t="s">
        <v>387</v>
      </c>
      <c r="D20" s="60"/>
      <c r="F20" s="60"/>
      <c r="H20" s="263" t="s">
        <v>376</v>
      </c>
      <c r="I20" s="263" t="s">
        <v>372</v>
      </c>
      <c r="J20" s="263" t="s">
        <v>373</v>
      </c>
      <c r="K20" s="263"/>
    </row>
    <row r="21" spans="1:12" ht="16.05" customHeight="1">
      <c r="F21" s="60"/>
      <c r="H21" s="263"/>
      <c r="I21" s="263"/>
      <c r="J21" s="263"/>
      <c r="K21" s="263"/>
    </row>
    <row r="22" spans="1:12">
      <c r="B22" s="155"/>
      <c r="F22" s="60"/>
    </row>
    <row r="23" spans="1:12">
      <c r="B23" s="108"/>
      <c r="D23" s="60"/>
      <c r="F23" s="60"/>
    </row>
    <row r="24" spans="1:12">
      <c r="B24" s="108"/>
      <c r="D24" s="60"/>
      <c r="F24" s="60"/>
    </row>
    <row r="25" spans="1:12">
      <c r="D25" s="60"/>
      <c r="F25" s="60"/>
    </row>
    <row r="26" spans="1:12">
      <c r="B26" s="108"/>
      <c r="D26" s="108"/>
      <c r="F26" s="60"/>
    </row>
    <row r="27" spans="1:12">
      <c r="D27" s="60"/>
      <c r="F27" s="60"/>
    </row>
    <row r="28" spans="1:12">
      <c r="D28" s="60"/>
      <c r="F28" s="60"/>
    </row>
    <row r="29" spans="1:12">
      <c r="D29" s="60"/>
      <c r="F29" s="60"/>
    </row>
    <row r="30" spans="1:12">
      <c r="D30" s="60"/>
      <c r="F30" s="60"/>
    </row>
    <row r="31" spans="1:12">
      <c r="D31" s="60"/>
      <c r="F31" s="60"/>
    </row>
    <row r="32" spans="1:12">
      <c r="D32" s="60"/>
      <c r="F32" s="60"/>
    </row>
    <row r="33" spans="4:6">
      <c r="D33" s="60"/>
      <c r="F33" s="60"/>
    </row>
    <row r="34" spans="4:6">
      <c r="D34" s="60"/>
      <c r="F34" s="60"/>
    </row>
    <row r="35" spans="4:6">
      <c r="D35" s="60"/>
      <c r="F35" s="60"/>
    </row>
    <row r="55" spans="1:17">
      <c r="B55" s="134" t="s">
        <v>375</v>
      </c>
    </row>
    <row r="56" spans="1:17">
      <c r="A56" s="262" t="s">
        <v>1</v>
      </c>
      <c r="B56" s="262"/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</row>
    <row r="57" spans="1:17" s="113" customFormat="1" ht="22.05" customHeight="1">
      <c r="A57" s="112" t="s">
        <v>364</v>
      </c>
      <c r="B57" s="112" t="s">
        <v>366</v>
      </c>
      <c r="C57" s="112" t="s">
        <v>367</v>
      </c>
      <c r="D57" s="112" t="s">
        <v>368</v>
      </c>
      <c r="E57" s="112" t="s">
        <v>369</v>
      </c>
      <c r="F57" s="112" t="s">
        <v>370</v>
      </c>
      <c r="G57" s="112" t="s">
        <v>374</v>
      </c>
      <c r="H57" s="112" t="s">
        <v>482</v>
      </c>
      <c r="I57" s="112" t="s">
        <v>485</v>
      </c>
      <c r="J57" s="112" t="s">
        <v>442</v>
      </c>
      <c r="K57" s="112" t="s">
        <v>371</v>
      </c>
      <c r="L57" s="112" t="s">
        <v>109</v>
      </c>
      <c r="M57" s="112" t="s">
        <v>110</v>
      </c>
      <c r="N57" s="112" t="s">
        <v>5</v>
      </c>
      <c r="O57" s="112" t="s">
        <v>111</v>
      </c>
      <c r="P57" s="112" t="s">
        <v>6</v>
      </c>
      <c r="Q57" s="112" t="s">
        <v>5</v>
      </c>
    </row>
    <row r="58" spans="1:17" s="116" customFormat="1" ht="10.5">
      <c r="A58" s="116" t="s">
        <v>365</v>
      </c>
      <c r="B58" s="186">
        <v>1439240390</v>
      </c>
      <c r="C58" s="186">
        <v>1428675850</v>
      </c>
      <c r="D58" s="115">
        <v>0.36799999999999999</v>
      </c>
      <c r="E58" s="115">
        <f>100%-D58</f>
        <v>0.63200000000000001</v>
      </c>
      <c r="F58" s="181">
        <v>27.36</v>
      </c>
      <c r="G58" s="181">
        <v>25.5</v>
      </c>
      <c r="H58" s="114">
        <v>8230</v>
      </c>
      <c r="I58" s="187">
        <v>54.6</v>
      </c>
      <c r="J58" s="115">
        <v>0.123</v>
      </c>
      <c r="K58" s="115">
        <v>0.74399999999999999</v>
      </c>
      <c r="L58" s="114"/>
      <c r="M58" s="114"/>
      <c r="O58" s="114"/>
      <c r="P58" s="114"/>
      <c r="Q58" s="114"/>
    </row>
    <row r="59" spans="1:17">
      <c r="A59" s="55" t="s">
        <v>481</v>
      </c>
      <c r="B59" s="184">
        <v>-1E-4</v>
      </c>
      <c r="C59" s="182">
        <f>(B58-C58)/C58</f>
        <v>7.3946374889727433E-3</v>
      </c>
      <c r="D59" s="185" t="str">
        <f>IF(C59&gt;B59,"Yes","No")</f>
        <v>Yes</v>
      </c>
      <c r="F59" s="182">
        <f>(F58-G58)/G58</f>
        <v>7.2941176470588218E-2</v>
      </c>
      <c r="G59" s="183" t="str">
        <f>IF(F59&gt;6%,"Yes","No")</f>
        <v>Yes</v>
      </c>
      <c r="H59" s="55">
        <v>21250</v>
      </c>
      <c r="I59" s="55">
        <v>246</v>
      </c>
      <c r="J59" s="188">
        <v>8.4000000000000005E-2</v>
      </c>
    </row>
    <row r="60" spans="1:17">
      <c r="H60" s="55" t="str">
        <f>IF(H58&gt;H59,"Yes","No")</f>
        <v>No</v>
      </c>
      <c r="J60" s="55" t="str">
        <f>IF(J58&gt;J59,"Yes","No")</f>
        <v>Yes</v>
      </c>
    </row>
    <row r="62" spans="1:17">
      <c r="B62" s="118"/>
    </row>
  </sheetData>
  <mergeCells count="30">
    <mergeCell ref="J10:L12"/>
    <mergeCell ref="G13:H13"/>
    <mergeCell ref="D6:E6"/>
    <mergeCell ref="F6:G6"/>
    <mergeCell ref="H6:I6"/>
    <mergeCell ref="G10:I11"/>
    <mergeCell ref="C11:E12"/>
    <mergeCell ref="J13:L13"/>
    <mergeCell ref="J18:L19"/>
    <mergeCell ref="A14:A19"/>
    <mergeCell ref="B14:C14"/>
    <mergeCell ref="D14:E14"/>
    <mergeCell ref="F14:G14"/>
    <mergeCell ref="H14:I14"/>
    <mergeCell ref="J5:L5"/>
    <mergeCell ref="A56:Q56"/>
    <mergeCell ref="I20:I21"/>
    <mergeCell ref="A1:I1"/>
    <mergeCell ref="A2:A5"/>
    <mergeCell ref="A6:A9"/>
    <mergeCell ref="A10:A13"/>
    <mergeCell ref="J20:K21"/>
    <mergeCell ref="H20:H21"/>
    <mergeCell ref="F10:F11"/>
    <mergeCell ref="B6:C6"/>
    <mergeCell ref="B11:B12"/>
    <mergeCell ref="J2:L4"/>
    <mergeCell ref="J6:L8"/>
    <mergeCell ref="J9:L9"/>
    <mergeCell ref="J14:L17"/>
  </mergeCells>
  <conditionalFormatting sqref="C2">
    <cfRule type="expression" dxfId="66" priority="18">
      <formula>$D$59="No"</formula>
    </cfRule>
    <cfRule type="expression" dxfId="65" priority="19">
      <formula>$D$59="Yes"</formula>
    </cfRule>
  </conditionalFormatting>
  <conditionalFormatting sqref="C3">
    <cfRule type="expression" dxfId="64" priority="14">
      <formula>$G$59="Yes"</formula>
    </cfRule>
  </conditionalFormatting>
  <conditionalFormatting sqref="C4">
    <cfRule type="cellIs" dxfId="63" priority="9" operator="equal">
      <formula>"Strong"</formula>
    </cfRule>
    <cfRule type="cellIs" dxfId="62" priority="10" operator="equal">
      <formula>"Moderate"</formula>
    </cfRule>
    <cfRule type="cellIs" dxfId="61" priority="11" operator="equal">
      <formula>"Weak"</formula>
    </cfRule>
  </conditionalFormatting>
  <conditionalFormatting sqref="C5">
    <cfRule type="expression" dxfId="60" priority="8">
      <formula>$J$60="yes"</formula>
    </cfRule>
    <cfRule type="expression" dxfId="59" priority="7">
      <formula>$J$60="no"</formula>
    </cfRule>
  </conditionalFormatting>
  <conditionalFormatting sqref="C7:C9">
    <cfRule type="cellIs" dxfId="58" priority="30" operator="equal">
      <formula>"Low to none"</formula>
    </cfRule>
    <cfRule type="cellIs" dxfId="57" priority="32" operator="equal">
      <formula>"High"</formula>
    </cfRule>
    <cfRule type="cellIs" dxfId="56" priority="31" operator="equal">
      <formula>"Moderate"</formula>
    </cfRule>
  </conditionalFormatting>
  <conditionalFormatting sqref="C15:C18">
    <cfRule type="cellIs" dxfId="55" priority="62" operator="equal">
      <formula>"High"</formula>
    </cfRule>
    <cfRule type="cellIs" dxfId="54" priority="61" operator="equal">
      <formula>"Moderate"</formula>
    </cfRule>
    <cfRule type="cellIs" dxfId="53" priority="60" operator="equal">
      <formula>"Low to none"</formula>
    </cfRule>
  </conditionalFormatting>
  <conditionalFormatting sqref="E2">
    <cfRule type="cellIs" dxfId="52" priority="15" operator="greaterThan">
      <formula>0.6</formula>
    </cfRule>
    <cfRule type="cellIs" dxfId="51" priority="16" operator="lessThan">
      <formula>0.6</formula>
    </cfRule>
    <cfRule type="cellIs" dxfId="50" priority="17" operator="lessThan">
      <formula>0.3</formula>
    </cfRule>
  </conditionalFormatting>
  <conditionalFormatting sqref="E3">
    <cfRule type="expression" dxfId="49" priority="12">
      <formula>$H$60="Yes"</formula>
    </cfRule>
    <cfRule type="expression" dxfId="48" priority="13">
      <formula>$H$60="No"</formula>
    </cfRule>
  </conditionalFormatting>
  <conditionalFormatting sqref="E7:E9">
    <cfRule type="cellIs" dxfId="47" priority="27" operator="equal">
      <formula>"Low to none"</formula>
    </cfRule>
    <cfRule type="cellIs" dxfId="46" priority="28" operator="equal">
      <formula>"Moderate"</formula>
    </cfRule>
    <cfRule type="cellIs" dxfId="45" priority="29" operator="equal">
      <formula>"High"</formula>
    </cfRule>
  </conditionalFormatting>
  <conditionalFormatting sqref="E15:E18">
    <cfRule type="cellIs" dxfId="44" priority="47" operator="equal">
      <formula>"High"</formula>
    </cfRule>
    <cfRule type="cellIs" dxfId="43" priority="46" operator="equal">
      <formula>"Moderate"</formula>
    </cfRule>
    <cfRule type="cellIs" dxfId="42" priority="45" operator="equal">
      <formula>"Low to none"</formula>
    </cfRule>
  </conditionalFormatting>
  <conditionalFormatting sqref="G7:G9">
    <cfRule type="cellIs" dxfId="41" priority="69" operator="equal">
      <formula>"Low to none"</formula>
    </cfRule>
    <cfRule type="cellIs" dxfId="40" priority="70" operator="equal">
      <formula>"Moderate"</formula>
    </cfRule>
    <cfRule type="cellIs" dxfId="39" priority="71" operator="equal">
      <formula>"High"</formula>
    </cfRule>
  </conditionalFormatting>
  <conditionalFormatting sqref="G10">
    <cfRule type="cellIs" dxfId="38" priority="117" operator="equal">
      <formula>"N"</formula>
    </cfRule>
  </conditionalFormatting>
  <conditionalFormatting sqref="G15:G17">
    <cfRule type="cellIs" dxfId="37" priority="36" operator="equal">
      <formula>"Low to none"</formula>
    </cfRule>
    <cfRule type="cellIs" dxfId="36" priority="38" operator="equal">
      <formula>"High"</formula>
    </cfRule>
    <cfRule type="cellIs" dxfId="35" priority="37" operator="equal">
      <formula>"Moderate"</formula>
    </cfRule>
  </conditionalFormatting>
  <conditionalFormatting sqref="G13:H13">
    <cfRule type="cellIs" dxfId="34" priority="97" operator="equal">
      <formula>"No policy"</formula>
    </cfRule>
    <cfRule type="cellIs" dxfId="33" priority="98" operator="equal">
      <formula>"Policy has molecule"</formula>
    </cfRule>
    <cfRule type="cellIs" dxfId="32" priority="99" operator="equal">
      <formula>"Policy has brand name"</formula>
    </cfRule>
    <cfRule type="cellIs" dxfId="31" priority="100" operator="equal">
      <formula>"Policy favours other molecule"</formula>
    </cfRule>
  </conditionalFormatting>
  <conditionalFormatting sqref="I2">
    <cfRule type="cellIs" dxfId="30" priority="63" operator="equal">
      <formula>"Low to none"</formula>
    </cfRule>
    <cfRule type="cellIs" dxfId="29" priority="64" operator="equal">
      <formula>"Moderate"</formula>
    </cfRule>
    <cfRule type="cellIs" dxfId="28" priority="65" operator="equal">
      <formula>"High"</formula>
    </cfRule>
  </conditionalFormatting>
  <conditionalFormatting sqref="I7:I9">
    <cfRule type="cellIs" dxfId="27" priority="66" operator="equal">
      <formula>"Low to none"</formula>
    </cfRule>
    <cfRule type="cellIs" dxfId="26" priority="67" operator="equal">
      <formula>"Moderate"</formula>
    </cfRule>
    <cfRule type="cellIs" dxfId="25" priority="68" operator="equal">
      <formula>"High"</formula>
    </cfRule>
  </conditionalFormatting>
  <conditionalFormatting sqref="I15:I19">
    <cfRule type="cellIs" dxfId="24" priority="33" operator="equal">
      <formula>"Low to none"</formula>
    </cfRule>
    <cfRule type="cellIs" dxfId="23" priority="34" operator="equal">
      <formula>"Moderate"</formula>
    </cfRule>
    <cfRule type="cellIs" dxfId="22" priority="35" operator="equal">
      <formula>"High"</formula>
    </cfRule>
  </conditionalFormatting>
  <conditionalFormatting sqref="J5:L5">
    <cfRule type="cellIs" dxfId="21" priority="4" operator="equal">
      <formula>"Yes"</formula>
    </cfRule>
    <cfRule type="cellIs" dxfId="20" priority="6" operator="equal">
      <formula>"No"</formula>
    </cfRule>
    <cfRule type="cellIs" dxfId="19" priority="5" operator="equal">
      <formula>"Moderate"</formula>
    </cfRule>
  </conditionalFormatting>
  <conditionalFormatting sqref="J9:L9">
    <cfRule type="cellIs" dxfId="18" priority="24" operator="equal">
      <formula>"Yes"</formula>
    </cfRule>
    <cfRule type="cellIs" dxfId="17" priority="26" operator="equal">
      <formula>"No"</formula>
    </cfRule>
    <cfRule type="cellIs" dxfId="16" priority="25" operator="equal">
      <formula>"Moderate"</formula>
    </cfRule>
  </conditionalFormatting>
  <conditionalFormatting sqref="J13:L13">
    <cfRule type="cellIs" dxfId="15" priority="2" operator="equal">
      <formula>"Moderate"</formula>
    </cfRule>
    <cfRule type="cellIs" dxfId="14" priority="3" operator="equal">
      <formula>"No"</formula>
    </cfRule>
    <cfRule type="cellIs" dxfId="13" priority="1" operator="equal">
      <formula>"Yes"</formula>
    </cfRule>
  </conditionalFormatting>
  <conditionalFormatting sqref="J18:L19">
    <cfRule type="cellIs" dxfId="12" priority="23" operator="equal">
      <formula>"No"</formula>
    </cfRule>
    <cfRule type="cellIs" dxfId="11" priority="22" operator="equal">
      <formula>"Yes"</formula>
    </cfRule>
    <cfRule type="cellIs" dxfId="10" priority="21" operator="equal">
      <formula>"Moderate"</formula>
    </cfRule>
  </conditionalFormatting>
  <dataValidations count="6">
    <dataValidation type="list" allowBlank="1" showInputMessage="1" showErrorMessage="1" sqref="G13:H13" xr:uid="{0E62ED46-5194-9B41-B54E-9B1ECAB1F7A2}">
      <formula1>"Policy has Brand Name, Policy has molecule, No Policy, Policy favours other molecule"</formula1>
    </dataValidation>
    <dataValidation type="list" allowBlank="1" showInputMessage="1" showErrorMessage="1" sqref="E4" xr:uid="{3CCC8DAE-783B-2E45-BC55-3AB1C040343A}">
      <formula1>"Full, Partial, Out of Pocket"</formula1>
    </dataValidation>
    <dataValidation type="list" allowBlank="1" showInputMessage="1" showErrorMessage="1" sqref="G4" xr:uid="{93494EEC-5481-DF46-BBF1-DDE2805BFCBA}">
      <formula1>"&lt;30%,30%,&gt;30%"</formula1>
    </dataValidation>
    <dataValidation type="list" allowBlank="1" showInputMessage="1" showErrorMessage="1" sqref="C4" xr:uid="{38BCAAD9-AF95-AA47-B20C-B591E32B1145}">
      <formula1>"Weak, Moderate, Strong"</formula1>
    </dataValidation>
    <dataValidation type="list" allowBlank="1" showInputMessage="1" showErrorMessage="1" sqref="G15:G17 C15:C18 E7:E8 C7:C9 I2 E15:E18" xr:uid="{67B29AA3-A0AE-7B44-9EEB-A9854FA0DABA}">
      <formula1>"High, Moderate, Low to none"</formula1>
    </dataValidation>
    <dataValidation type="list" allowBlank="1" showInputMessage="1" showErrorMessage="1" sqref="E5" xr:uid="{A0FE5B28-2773-DF41-9E7E-30807FE9C054}">
      <formula1>"Innovators Dominate, Generics Dominate, Balanced"</formula1>
    </dataValidation>
  </dataValidations>
  <hyperlinks>
    <hyperlink ref="A2:A5" location="'Environment Understanding'!A53" display="Macro" xr:uid="{A6896FCB-7469-1248-B7EB-B86247774472}"/>
    <hyperlink ref="I20:I21" location="Contents!A1" display="Contents!A1" xr:uid="{E3C016CD-9AFF-DE42-9CF9-4D49688094C7}"/>
    <hyperlink ref="B55" location="'Environment Understanding'!A1" display="&lt; Back" xr:uid="{F09AFB51-D0BA-E145-B810-FA7239CADDD1}"/>
    <hyperlink ref="H20:H21" location="'Product Orientation'!A1" display="&lt; Previous Step" xr:uid="{B873FE11-487E-FB45-9F44-37C33D8B5A08}"/>
    <hyperlink ref="J20:K21" location="'Market Definition'!A1" display="Next Step &gt;" xr:uid="{CD7FBC24-616D-E542-B4D2-05BECA726EC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AE3A-2BA3-0144-B580-CABF694D60B6}">
  <dimension ref="A1:D9"/>
  <sheetViews>
    <sheetView zoomScale="90" zoomScaleNormal="90" workbookViewId="0">
      <selection activeCell="C7" sqref="C7"/>
    </sheetView>
  </sheetViews>
  <sheetFormatPr defaultColWidth="10.8125" defaultRowHeight="15.75"/>
  <cols>
    <col min="1" max="1" width="21.5" style="59" customWidth="1"/>
    <col min="2" max="2" width="45.6875" style="59" customWidth="1"/>
    <col min="3" max="3" width="86.8125" style="59" customWidth="1"/>
    <col min="4" max="16384" width="10.8125" style="55"/>
  </cols>
  <sheetData>
    <row r="1" spans="1:4" ht="17" customHeight="1">
      <c r="A1" s="290" t="s">
        <v>13</v>
      </c>
      <c r="B1" s="290"/>
      <c r="C1" s="290"/>
    </row>
    <row r="2" spans="1:4" ht="17" customHeight="1" thickBot="1">
      <c r="A2" s="214"/>
      <c r="B2" s="215" t="s">
        <v>491</v>
      </c>
      <c r="C2" s="215" t="s">
        <v>509</v>
      </c>
    </row>
    <row r="3" spans="1:4" ht="47.65" thickBot="1">
      <c r="A3" s="2" t="s">
        <v>13</v>
      </c>
      <c r="B3" s="149" t="str">
        <f>'AWACS input'!B9</f>
        <v>SEX TONICS &amp; STIMULANTS | V3X2</v>
      </c>
      <c r="C3" s="1" t="s">
        <v>19</v>
      </c>
    </row>
    <row r="4" spans="1:4" ht="16.149999999999999" thickBot="1">
      <c r="A4" s="3" t="s">
        <v>14</v>
      </c>
      <c r="B4" s="149" t="str">
        <f>"~"&amp;ROUND('AWACS input'!D3,0)&amp;" Cr Growth Rate "&amp;TEXT('AWACS input'!D4,"0%")</f>
        <v>~139 Cr Growth Rate 8%</v>
      </c>
      <c r="C4" s="1" t="s">
        <v>20</v>
      </c>
    </row>
    <row r="5" spans="1:4" ht="16.149999999999999" thickBot="1">
      <c r="A5" s="4" t="s">
        <v>15</v>
      </c>
      <c r="B5" s="149" t="str">
        <f>'Product Orientation'!D16</f>
        <v>(Name)</v>
      </c>
      <c r="C5" s="1" t="s">
        <v>511</v>
      </c>
    </row>
    <row r="6" spans="1:4" ht="47.65" thickBot="1">
      <c r="A6" s="5" t="s">
        <v>16</v>
      </c>
      <c r="B6" s="151" t="str">
        <f>CONCATENATE(Segmentation!A2,CHAR(10),Segmentation!A3,CHAR(10),Segmentation!A4)</f>
        <v xml:space="preserve">Cardiologist
</v>
      </c>
      <c r="C6" s="1" t="s">
        <v>512</v>
      </c>
    </row>
    <row r="7" spans="1:4" ht="16.149999999999999" thickBot="1">
      <c r="A7" s="6" t="s">
        <v>17</v>
      </c>
      <c r="B7" s="150">
        <f>'Patient Funnel'!D2*10^6</f>
        <v>2000000000</v>
      </c>
      <c r="C7" s="1" t="s">
        <v>21</v>
      </c>
      <c r="D7" s="63"/>
    </row>
    <row r="8" spans="1:4" ht="79.05" customHeight="1" thickBot="1">
      <c r="A8" s="7" t="s">
        <v>18</v>
      </c>
      <c r="B8" s="151" t="str">
        <f>"#1 "&amp;'Contested Cat.'!P37&amp;CHAR(10)&amp;"#2 "&amp;'Contested Cat.'!P38&amp;CHAR(10)&amp;"#3 "&amp;'Contested Cat.'!P39</f>
        <v>#1 TENTEX FORTE (HIMALAYA) ~25Cr ~7% GR ~18% MS
#2 CONFIDO (HIMALAYA) ~21Cr ~4% GR ~15% MS
#3 ADDYZOA (CHARAK) ~13Cr ~6% GR ~9% MS</v>
      </c>
      <c r="C8" s="1" t="s">
        <v>513</v>
      </c>
    </row>
    <row r="9" spans="1:4">
      <c r="B9" s="200"/>
      <c r="C9" s="200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ECE3-7B36-694A-B585-2AC8EFC4F64A}">
  <dimension ref="A1:S6"/>
  <sheetViews>
    <sheetView zoomScale="70" zoomScaleNormal="70" workbookViewId="0">
      <selection activeCell="D5" sqref="D5"/>
    </sheetView>
  </sheetViews>
  <sheetFormatPr defaultColWidth="10.8125" defaultRowHeight="15.75"/>
  <cols>
    <col min="1" max="1" width="10.8125" style="55"/>
    <col min="2" max="2" width="43.3125" style="55" customWidth="1"/>
    <col min="3" max="3" width="0.5" style="63" customWidth="1"/>
    <col min="4" max="4" width="13.1875" style="55" bestFit="1" customWidth="1"/>
    <col min="5" max="16384" width="10.8125" style="55"/>
  </cols>
  <sheetData>
    <row r="1" spans="1:19" ht="40.049999999999997" customHeight="1">
      <c r="A1" s="136" t="s">
        <v>22</v>
      </c>
      <c r="B1" s="136" t="s">
        <v>23</v>
      </c>
      <c r="C1" s="137"/>
      <c r="D1" s="136" t="s">
        <v>414</v>
      </c>
      <c r="E1" s="136" t="s">
        <v>107</v>
      </c>
      <c r="F1" s="136"/>
    </row>
    <row r="2" spans="1:19" ht="40.049999999999997" customHeight="1">
      <c r="A2" s="136">
        <v>1</v>
      </c>
      <c r="B2" s="136" t="s">
        <v>24</v>
      </c>
      <c r="C2" s="137"/>
      <c r="D2" s="136">
        <v>2000</v>
      </c>
      <c r="E2" s="138"/>
      <c r="F2" s="136"/>
    </row>
    <row r="3" spans="1:19" ht="40.049999999999997" customHeight="1">
      <c r="A3" s="136">
        <v>2</v>
      </c>
      <c r="B3" s="136" t="s">
        <v>25</v>
      </c>
      <c r="C3" s="137">
        <f>($D$2-D3)/2</f>
        <v>200</v>
      </c>
      <c r="D3" s="136">
        <f>D2*E3</f>
        <v>1600</v>
      </c>
      <c r="E3" s="138">
        <v>0.8</v>
      </c>
      <c r="F3" s="136"/>
    </row>
    <row r="4" spans="1:19" ht="40.049999999999997" customHeight="1">
      <c r="A4" s="136">
        <v>3</v>
      </c>
      <c r="B4" s="136" t="s">
        <v>26</v>
      </c>
      <c r="C4" s="137">
        <f>($D$2-D4)/2</f>
        <v>440</v>
      </c>
      <c r="D4" s="136">
        <f>D3*E4</f>
        <v>1120</v>
      </c>
      <c r="E4" s="138">
        <v>0.7</v>
      </c>
      <c r="F4" s="136"/>
    </row>
    <row r="5" spans="1:19" ht="40.049999999999997" customHeight="1">
      <c r="A5" s="136">
        <v>4</v>
      </c>
      <c r="B5" s="136" t="s">
        <v>27</v>
      </c>
      <c r="C5" s="137">
        <f>($D$2-D5)/2</f>
        <v>720</v>
      </c>
      <c r="D5" s="136">
        <f>D4*E5</f>
        <v>560</v>
      </c>
      <c r="E5" s="138">
        <v>0.5</v>
      </c>
      <c r="F5" s="136"/>
    </row>
    <row r="6" spans="1:19" ht="18">
      <c r="A6" s="136"/>
      <c r="B6" s="136"/>
      <c r="C6" s="137"/>
      <c r="D6" s="136"/>
      <c r="E6" s="136"/>
      <c r="F6" s="136"/>
      <c r="S6" s="55" t="s">
        <v>112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98E3-7718-E240-9348-E5BC8EE865DE}">
  <dimension ref="A1:E12"/>
  <sheetViews>
    <sheetView showGridLines="0" zoomScale="80" zoomScaleNormal="80" zoomScaleSheetLayoutView="100" workbookViewId="0">
      <selection activeCell="E10" sqref="E10"/>
    </sheetView>
  </sheetViews>
  <sheetFormatPr defaultColWidth="10.8125" defaultRowHeight="15.75"/>
  <cols>
    <col min="1" max="1" width="31.8125" style="61" customWidth="1"/>
    <col min="2" max="2" width="10.8125" style="62"/>
    <col min="3" max="3" width="141.8125" style="55" customWidth="1"/>
    <col min="4" max="4" width="2.3125" style="55" customWidth="1"/>
    <col min="5" max="16384" width="10.8125" style="55"/>
  </cols>
  <sheetData>
    <row r="1" spans="1:5" ht="21.4" thickBot="1">
      <c r="A1" s="8"/>
      <c r="B1" s="291" t="s">
        <v>35</v>
      </c>
      <c r="C1" s="291"/>
    </row>
    <row r="2" spans="1:5" ht="79.150000000000006" thickBot="1">
      <c r="A2" s="30" t="s">
        <v>30</v>
      </c>
      <c r="B2" s="25" t="s">
        <v>37</v>
      </c>
      <c r="C2" s="11"/>
    </row>
    <row r="3" spans="1:5" ht="10.050000000000001" customHeight="1" thickBot="1">
      <c r="A3" s="31"/>
      <c r="B3" s="9"/>
      <c r="C3"/>
    </row>
    <row r="4" spans="1:5" ht="62.65" thickBot="1">
      <c r="A4" s="31" t="s">
        <v>31</v>
      </c>
      <c r="B4" s="26" t="s">
        <v>36</v>
      </c>
      <c r="C4" s="12"/>
    </row>
    <row r="5" spans="1:5" ht="10.050000000000001" customHeight="1" thickBot="1">
      <c r="A5" s="31"/>
      <c r="B5" s="9"/>
      <c r="C5"/>
    </row>
    <row r="6" spans="1:5" ht="137.65" thickBot="1">
      <c r="A6" s="31" t="s">
        <v>32</v>
      </c>
      <c r="B6" s="27" t="s">
        <v>28</v>
      </c>
      <c r="C6" s="13"/>
      <c r="E6" s="200" t="s">
        <v>476</v>
      </c>
    </row>
    <row r="7" spans="1:5" ht="10.050000000000001" customHeight="1" thickBot="1">
      <c r="A7" s="31"/>
      <c r="B7" s="9"/>
      <c r="C7"/>
    </row>
    <row r="8" spans="1:5" ht="69.75" thickBot="1">
      <c r="A8" s="31" t="s">
        <v>33</v>
      </c>
      <c r="B8" s="28" t="s">
        <v>29</v>
      </c>
      <c r="C8" s="14"/>
    </row>
    <row r="9" spans="1:5" ht="10.050000000000001" customHeight="1" thickBot="1">
      <c r="A9" s="31"/>
      <c r="B9" s="9"/>
      <c r="C9"/>
    </row>
    <row r="10" spans="1:5" ht="68.650000000000006" thickBot="1">
      <c r="A10" s="32" t="s">
        <v>34</v>
      </c>
      <c r="B10" s="29" t="s">
        <v>38</v>
      </c>
      <c r="C10" s="15"/>
    </row>
    <row r="11" spans="1:5" ht="10.050000000000001" customHeight="1">
      <c r="A11" s="8"/>
      <c r="B11" s="10"/>
      <c r="C11"/>
    </row>
    <row r="12" spans="1:5">
      <c r="C12" s="63" t="s">
        <v>475</v>
      </c>
    </row>
  </sheetData>
  <mergeCells count="1">
    <mergeCell ref="B1:C1"/>
  </mergeCells>
  <pageMargins left="0.7" right="0.7" top="0.75" bottom="0.75" header="0.3" footer="0.3"/>
  <pageSetup paperSize="9" scale="3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C8CF-0A7B-1F4B-9029-35B051CB11FA}">
  <dimension ref="A1:Y15"/>
  <sheetViews>
    <sheetView zoomScale="110" zoomScaleNormal="110" workbookViewId="0">
      <selection activeCell="D6" sqref="D6"/>
    </sheetView>
  </sheetViews>
  <sheetFormatPr defaultColWidth="10.8125" defaultRowHeight="15.75"/>
  <cols>
    <col min="1" max="1" width="10.8125" style="21"/>
    <col min="2" max="2" width="15.6875" style="22" bestFit="1" customWidth="1"/>
    <col min="3" max="3" width="3.3125" style="22" customWidth="1"/>
    <col min="4" max="4" width="15" style="23" customWidth="1"/>
    <col min="5" max="16384" width="10.8125" style="22"/>
  </cols>
  <sheetData>
    <row r="1" spans="1:25" ht="18">
      <c r="C1" s="213" t="s">
        <v>506</v>
      </c>
      <c r="D1" s="19" t="s">
        <v>48</v>
      </c>
    </row>
    <row r="2" spans="1:25" ht="40.049999999999997" customHeight="1">
      <c r="A2" s="293" t="s">
        <v>45</v>
      </c>
      <c r="B2" s="16" t="s">
        <v>39</v>
      </c>
      <c r="C2" s="213" t="s">
        <v>508</v>
      </c>
      <c r="D2" s="20">
        <v>0.9</v>
      </c>
      <c r="Y2" s="22" t="str">
        <f t="shared" ref="Y2:Y3" si="0">IF(L8="NO","NO",IF(C2="Y","YES",C2))</f>
        <v>N</v>
      </c>
    </row>
    <row r="3" spans="1:25" ht="40.049999999999997" customHeight="1">
      <c r="A3" s="293"/>
      <c r="B3" s="16" t="s">
        <v>40</v>
      </c>
      <c r="C3" s="213" t="s">
        <v>508</v>
      </c>
      <c r="D3" s="20">
        <v>0.5</v>
      </c>
      <c r="Y3" s="22" t="str">
        <f t="shared" si="0"/>
        <v>N</v>
      </c>
    </row>
    <row r="4" spans="1:25" ht="40.049999999999997" customHeight="1">
      <c r="A4" s="293"/>
      <c r="B4" s="16" t="s">
        <v>41</v>
      </c>
      <c r="C4" s="213" t="s">
        <v>507</v>
      </c>
      <c r="D4" s="20">
        <v>0.5</v>
      </c>
      <c r="Y4" s="22" t="str">
        <f>IF(L10="NO","NO",IF(C4="Y","YES",C4))</f>
        <v>YES</v>
      </c>
    </row>
    <row r="5" spans="1:25" ht="40.049999999999997" customHeight="1">
      <c r="A5" s="294" t="s">
        <v>46</v>
      </c>
      <c r="B5" s="17" t="s">
        <v>42</v>
      </c>
      <c r="C5" s="213" t="s">
        <v>508</v>
      </c>
      <c r="D5" s="20">
        <v>0.25</v>
      </c>
      <c r="Y5" s="22" t="str">
        <f>IF(L10="No",IF(Y6="Yes","No","Yes"),IF(C5="Y","YES",C5))</f>
        <v>N</v>
      </c>
    </row>
    <row r="6" spans="1:25" ht="40.049999999999997" customHeight="1">
      <c r="A6" s="294"/>
      <c r="B6" s="17" t="s">
        <v>29</v>
      </c>
      <c r="C6" s="213" t="s">
        <v>507</v>
      </c>
      <c r="D6" s="20">
        <v>0.5</v>
      </c>
      <c r="Y6" s="22" t="str">
        <f>IF(L10="NO",IF(D6&lt;45%,"Yes","No"),IF(C6="Y","YES",C6))</f>
        <v>YES</v>
      </c>
    </row>
    <row r="7" spans="1:25" ht="40.049999999999997" customHeight="1">
      <c r="A7" s="295" t="s">
        <v>47</v>
      </c>
      <c r="B7" s="18" t="s">
        <v>43</v>
      </c>
      <c r="C7" s="213" t="s">
        <v>508</v>
      </c>
      <c r="D7" s="20">
        <v>0.9</v>
      </c>
      <c r="Y7" s="22" t="str">
        <f>IF(L10="NO",IF(Y6="Yes","Yes","No"),IF(C7="Y","YES",C7))</f>
        <v>N</v>
      </c>
    </row>
    <row r="8" spans="1:25" ht="40.049999999999997" customHeight="1">
      <c r="A8" s="295"/>
      <c r="B8" s="18" t="s">
        <v>44</v>
      </c>
      <c r="C8" s="213" t="s">
        <v>508</v>
      </c>
      <c r="D8" s="20">
        <v>0.6</v>
      </c>
      <c r="Y8" s="22" t="str">
        <f>IF(L10="NO",IF(Y6="Yes","Yes","No"),IF(C8="Y","YES",C8))</f>
        <v>N</v>
      </c>
    </row>
    <row r="10" spans="1:25">
      <c r="A10" s="292" t="s">
        <v>72</v>
      </c>
      <c r="B10" s="292"/>
      <c r="C10" s="292"/>
      <c r="D10" s="292"/>
      <c r="E10" s="292"/>
      <c r="F10" s="292"/>
      <c r="G10" s="292"/>
      <c r="K10" s="212" t="s">
        <v>505</v>
      </c>
      <c r="L10" s="147" t="s">
        <v>519</v>
      </c>
    </row>
    <row r="11" spans="1:25">
      <c r="A11" s="50" t="s">
        <v>62</v>
      </c>
      <c r="B11" s="48" t="s">
        <v>67</v>
      </c>
      <c r="C11" s="48"/>
      <c r="D11" s="49"/>
      <c r="E11" s="48"/>
      <c r="F11" s="48"/>
    </row>
    <row r="12" spans="1:25">
      <c r="A12" s="50" t="s">
        <v>63</v>
      </c>
      <c r="B12" s="48" t="s">
        <v>68</v>
      </c>
      <c r="C12" s="48"/>
      <c r="D12" s="49"/>
      <c r="E12" s="48"/>
      <c r="F12" s="48"/>
      <c r="J12" s="179" t="s">
        <v>477</v>
      </c>
    </row>
    <row r="13" spans="1:25">
      <c r="A13" s="50" t="s">
        <v>64</v>
      </c>
      <c r="B13" s="48" t="s">
        <v>69</v>
      </c>
      <c r="C13" s="48"/>
      <c r="D13" s="49"/>
      <c r="E13" s="48"/>
      <c r="F13" s="48"/>
      <c r="J13" s="179" t="s">
        <v>478</v>
      </c>
    </row>
    <row r="14" spans="1:25">
      <c r="A14" s="50" t="s">
        <v>65</v>
      </c>
      <c r="B14" s="48" t="s">
        <v>70</v>
      </c>
      <c r="C14" s="48"/>
      <c r="D14" s="49"/>
      <c r="E14" s="48"/>
      <c r="F14" s="48"/>
      <c r="J14" s="179" t="s">
        <v>479</v>
      </c>
    </row>
    <row r="15" spans="1:25">
      <c r="A15" s="50" t="s">
        <v>66</v>
      </c>
      <c r="B15" s="48" t="s">
        <v>71</v>
      </c>
      <c r="C15" s="48"/>
      <c r="D15" s="49"/>
      <c r="E15" s="48"/>
      <c r="F15" s="48"/>
    </row>
  </sheetData>
  <mergeCells count="4">
    <mergeCell ref="A10:G10"/>
    <mergeCell ref="A2:A4"/>
    <mergeCell ref="A5:A6"/>
    <mergeCell ref="A7:A8"/>
  </mergeCells>
  <phoneticPr fontId="9" type="noConversion"/>
  <conditionalFormatting sqref="C1">
    <cfRule type="expression" dxfId="9" priority="3">
      <formula>$L$10="YES"</formula>
    </cfRule>
  </conditionalFormatting>
  <conditionalFormatting sqref="C2:C8">
    <cfRule type="expression" dxfId="8" priority="2">
      <formula>$L$10="YES"</formula>
    </cfRule>
  </conditionalFormatting>
  <conditionalFormatting sqref="D2:D4">
    <cfRule type="expression" dxfId="7" priority="1">
      <formula>Y2="YES"</formula>
    </cfRule>
  </conditionalFormatting>
  <conditionalFormatting sqref="D5">
    <cfRule type="expression" dxfId="6" priority="4">
      <formula>$Y$5="Yes"</formula>
    </cfRule>
  </conditionalFormatting>
  <conditionalFormatting sqref="D6">
    <cfRule type="expression" dxfId="5" priority="6">
      <formula>$Y$6="Yes"</formula>
    </cfRule>
  </conditionalFormatting>
  <conditionalFormatting sqref="D7">
    <cfRule type="expression" dxfId="4" priority="7">
      <formula>$Y7="Yes"</formula>
    </cfRule>
  </conditionalFormatting>
  <conditionalFormatting sqref="D8">
    <cfRule type="expression" dxfId="3" priority="5">
      <formula>$Y$8="Yes"</formula>
    </cfRule>
  </conditionalFormatting>
  <dataValidations count="2">
    <dataValidation type="list" allowBlank="1" showInputMessage="1" showErrorMessage="1" sqref="L10" xr:uid="{033EACA0-3A57-CD45-A9A2-84FDA1A06239}">
      <formula1>"Yes, No"</formula1>
    </dataValidation>
    <dataValidation type="list" allowBlank="1" showInputMessage="1" showErrorMessage="1" sqref="C2:C8" xr:uid="{93DCE429-607E-994E-A3AC-CC717A3303B4}">
      <formula1>"Y,N"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F825-C023-0A49-B9C6-A7A0572EC627}">
  <dimension ref="A1:AA7"/>
  <sheetViews>
    <sheetView zoomScale="70" zoomScaleNormal="70" workbookViewId="0">
      <selection activeCell="C4" sqref="C4"/>
    </sheetView>
  </sheetViews>
  <sheetFormatPr defaultColWidth="10.8125" defaultRowHeight="15.75"/>
  <cols>
    <col min="1" max="1" width="20.8125" style="35" bestFit="1" customWidth="1"/>
    <col min="2" max="2" width="20.8125" style="35" customWidth="1"/>
    <col min="3" max="3" width="15" style="22" customWidth="1"/>
    <col min="4" max="4" width="49.6875" style="47" customWidth="1"/>
    <col min="5" max="5" width="96.6875" style="47" customWidth="1"/>
    <col min="6" max="16384" width="10.8125" style="22"/>
  </cols>
  <sheetData>
    <row r="1" spans="1:27" ht="25.05" customHeight="1">
      <c r="A1" s="33" t="s">
        <v>377</v>
      </c>
      <c r="B1" s="33" t="s">
        <v>56</v>
      </c>
      <c r="C1" s="33" t="s">
        <v>55</v>
      </c>
      <c r="D1" s="44" t="s">
        <v>49</v>
      </c>
      <c r="E1" s="44" t="s">
        <v>49</v>
      </c>
    </row>
    <row r="2" spans="1:27" ht="60" customHeight="1">
      <c r="A2" s="40" t="s">
        <v>50</v>
      </c>
      <c r="B2" s="40" t="s">
        <v>57</v>
      </c>
      <c r="C2" s="38">
        <v>0.2</v>
      </c>
      <c r="D2" s="296"/>
      <c r="E2" s="45"/>
      <c r="AA2" s="39">
        <f>MAX(100%,C2)-C2</f>
        <v>0.8</v>
      </c>
    </row>
    <row r="3" spans="1:27" ht="60" customHeight="1">
      <c r="A3" s="37" t="s">
        <v>51</v>
      </c>
      <c r="B3" s="37" t="s">
        <v>58</v>
      </c>
      <c r="C3" s="38">
        <v>0.2</v>
      </c>
      <c r="D3" s="297"/>
      <c r="E3" s="45"/>
      <c r="AA3" s="39">
        <f>MAX(100%,C3)-C3</f>
        <v>0.8</v>
      </c>
    </row>
    <row r="4" spans="1:27" ht="60" customHeight="1">
      <c r="A4" s="41" t="s">
        <v>52</v>
      </c>
      <c r="B4" s="41" t="s">
        <v>59</v>
      </c>
      <c r="C4" s="38">
        <v>0.25</v>
      </c>
      <c r="D4" s="297"/>
      <c r="E4" s="45"/>
      <c r="AA4" s="39">
        <f>MAX(100%,C4)-C4</f>
        <v>0.75</v>
      </c>
    </row>
    <row r="5" spans="1:27" ht="60" customHeight="1">
      <c r="A5" s="42" t="s">
        <v>53</v>
      </c>
      <c r="B5" s="42" t="s">
        <v>60</v>
      </c>
      <c r="C5" s="38">
        <v>0.25</v>
      </c>
      <c r="D5" s="297"/>
      <c r="E5" s="45"/>
      <c r="AA5" s="39">
        <f>MAX(100%,C5)-C5</f>
        <v>0.75</v>
      </c>
    </row>
    <row r="6" spans="1:27" ht="60" customHeight="1">
      <c r="A6" s="43" t="s">
        <v>54</v>
      </c>
      <c r="B6" s="43" t="s">
        <v>61</v>
      </c>
      <c r="C6" s="38">
        <v>0.1</v>
      </c>
      <c r="D6" s="298"/>
      <c r="E6" s="45"/>
      <c r="AA6" s="39">
        <f>MAX(100%,C6)-C6</f>
        <v>0.9</v>
      </c>
    </row>
    <row r="7" spans="1:27">
      <c r="A7" s="34"/>
      <c r="B7" s="34"/>
      <c r="C7" s="36">
        <f>SUM(C2:C6)</f>
        <v>1</v>
      </c>
      <c r="D7" s="46"/>
      <c r="E7" s="46"/>
    </row>
  </sheetData>
  <mergeCells count="1">
    <mergeCell ref="D2:D6"/>
  </mergeCells>
  <conditionalFormatting sqref="C7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EA32-1F71-954D-A75E-43F7FF855360}">
  <dimension ref="B3:W42"/>
  <sheetViews>
    <sheetView zoomScale="40" zoomScaleNormal="40" workbookViewId="0">
      <selection activeCell="E25" sqref="E25"/>
    </sheetView>
  </sheetViews>
  <sheetFormatPr defaultColWidth="10.8125" defaultRowHeight="15.75"/>
  <cols>
    <col min="1" max="1" width="10.8125" style="55"/>
    <col min="2" max="2" width="5.8125" style="55" customWidth="1"/>
    <col min="3" max="20" width="10.8125" style="55"/>
    <col min="21" max="21" width="5.8125" style="55" customWidth="1"/>
    <col min="22" max="16384" width="10.8125" style="55"/>
  </cols>
  <sheetData>
    <row r="3" spans="2:23" ht="16.05" customHeight="1">
      <c r="B3" s="56"/>
      <c r="C3" s="301" t="s">
        <v>514</v>
      </c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56"/>
    </row>
    <row r="4" spans="2:23" ht="16.05" customHeight="1">
      <c r="B4" s="56"/>
      <c r="C4" s="301"/>
      <c r="D4" s="301"/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56"/>
    </row>
    <row r="5" spans="2:23" ht="16.05" customHeight="1">
      <c r="B5" s="56"/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56"/>
    </row>
    <row r="6" spans="2:23" ht="16.05" customHeight="1">
      <c r="B6" s="57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57"/>
    </row>
    <row r="7" spans="2:23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2:23" ht="21">
      <c r="B8" s="24"/>
      <c r="C8" s="24"/>
      <c r="D8" s="303" t="s">
        <v>106</v>
      </c>
      <c r="E8" s="303"/>
      <c r="F8" s="303"/>
      <c r="G8" s="303"/>
      <c r="H8" s="24"/>
      <c r="I8" s="24"/>
      <c r="J8" s="24"/>
      <c r="K8" s="24"/>
      <c r="L8" s="24"/>
      <c r="M8" s="24"/>
      <c r="N8" s="24"/>
      <c r="O8" s="24"/>
      <c r="P8" s="303" t="s">
        <v>108</v>
      </c>
      <c r="Q8" s="303"/>
      <c r="R8" s="303"/>
      <c r="S8" s="303"/>
      <c r="T8" s="24"/>
      <c r="U8" s="24"/>
    </row>
    <row r="9" spans="2:23" ht="21">
      <c r="B9" s="24"/>
      <c r="C9" s="24"/>
      <c r="D9" s="303"/>
      <c r="E9" s="303"/>
      <c r="F9" s="303"/>
      <c r="G9" s="303"/>
      <c r="H9" s="24"/>
      <c r="I9" s="24"/>
      <c r="J9" s="24"/>
      <c r="K9" s="24"/>
      <c r="L9" s="24"/>
      <c r="M9" s="24"/>
      <c r="N9" s="24"/>
      <c r="O9" s="24"/>
      <c r="P9" s="304" t="str">
        <f>"~"&amp;ROUND('AWACS input'!D3,0)&amp;" Cr market GR "&amp;TEXT('AWACS input'!D4,"0%")</f>
        <v>~139 Cr market GR 8%</v>
      </c>
      <c r="Q9" s="304"/>
      <c r="R9" s="304"/>
      <c r="S9" s="304"/>
      <c r="T9" s="24"/>
      <c r="U9" s="24"/>
    </row>
    <row r="10" spans="2:23" ht="21">
      <c r="B10" s="24"/>
      <c r="C10" s="24"/>
      <c r="D10" s="117"/>
      <c r="E10" s="117"/>
      <c r="F10" s="117"/>
      <c r="G10" s="117"/>
      <c r="H10" s="24"/>
      <c r="I10" s="24"/>
      <c r="J10" s="24"/>
      <c r="K10" s="24"/>
      <c r="L10" s="24"/>
      <c r="M10" s="24"/>
      <c r="N10" s="24"/>
      <c r="O10" s="24"/>
      <c r="P10" s="304" t="str">
        <f>TEXT('AWACS input'!D2,"0%")&amp;" CAGR over last "&amp;'AWACS input'!E2&amp;" years"</f>
        <v>4% CAGR over last 5 years</v>
      </c>
      <c r="Q10" s="304"/>
      <c r="R10" s="304"/>
      <c r="S10" s="304"/>
      <c r="T10" s="24"/>
      <c r="U10" s="24"/>
    </row>
    <row r="11" spans="2:23" ht="21">
      <c r="B11" s="24"/>
      <c r="C11" s="24"/>
      <c r="D11" s="117"/>
      <c r="E11" s="117"/>
      <c r="F11" s="117"/>
      <c r="G11" s="117"/>
      <c r="H11" s="24"/>
      <c r="I11" s="24"/>
      <c r="J11" s="24"/>
      <c r="K11" s="24"/>
      <c r="L11" s="24"/>
      <c r="M11" s="24"/>
      <c r="N11" s="24"/>
      <c r="O11" s="24"/>
      <c r="P11" s="304" t="str">
        <f>"~"&amp;'AWACS input'!D5&amp;" Brands"</f>
        <v>~42 Brands</v>
      </c>
      <c r="Q11" s="304"/>
      <c r="R11" s="304"/>
      <c r="S11" s="304"/>
      <c r="T11" s="24"/>
      <c r="U11" s="24"/>
      <c r="W11" s="63" t="s">
        <v>397</v>
      </c>
    </row>
    <row r="12" spans="2:23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2:23">
      <c r="B13" s="24"/>
      <c r="C13" s="24"/>
      <c r="D13" s="58"/>
      <c r="E13" s="58" t="s">
        <v>515</v>
      </c>
      <c r="F13" s="58"/>
      <c r="G13" s="58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2:23">
      <c r="B14" s="24"/>
      <c r="C14" s="24"/>
      <c r="D14" s="58"/>
      <c r="E14" s="58" t="s">
        <v>516</v>
      </c>
      <c r="F14" s="58"/>
      <c r="G14" s="58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2:23">
      <c r="B15" s="24"/>
      <c r="C15" s="24"/>
      <c r="D15" s="58"/>
      <c r="E15" s="58" t="s">
        <v>517</v>
      </c>
      <c r="F15" s="58"/>
      <c r="G15" s="58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2:23">
      <c r="B16" s="24"/>
      <c r="C16" s="24"/>
      <c r="D16" s="58"/>
      <c r="E16" s="58"/>
      <c r="F16" s="58"/>
      <c r="G16" s="58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2:21">
      <c r="B17" s="24"/>
      <c r="C17" s="24"/>
      <c r="D17" s="58"/>
      <c r="E17" s="58"/>
      <c r="F17" s="58"/>
      <c r="G17" s="58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2:21">
      <c r="B18" s="24"/>
      <c r="C18" s="24"/>
      <c r="D18" s="152"/>
      <c r="E18" s="152"/>
      <c r="F18" s="152"/>
      <c r="G18" s="152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2:21">
      <c r="B19" s="24"/>
      <c r="C19" s="24"/>
      <c r="D19" s="152"/>
      <c r="E19" s="152"/>
      <c r="F19" s="152"/>
      <c r="G19" s="152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2:21">
      <c r="B20" s="24"/>
      <c r="C20" s="24"/>
      <c r="D20" s="152"/>
      <c r="E20" s="152"/>
      <c r="F20" s="152"/>
      <c r="G20" s="152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2:21">
      <c r="B21" s="24"/>
      <c r="C21" s="24"/>
      <c r="D21" s="152"/>
      <c r="E21" s="152"/>
      <c r="F21" s="152"/>
      <c r="G21" s="152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2:21">
      <c r="B22" s="24"/>
      <c r="C22" s="24"/>
      <c r="D22" s="152"/>
      <c r="E22" s="152"/>
      <c r="F22" s="152"/>
      <c r="G22" s="152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2:21">
      <c r="B23" s="24"/>
      <c r="C23" s="24"/>
      <c r="D23" s="153"/>
      <c r="E23" s="153"/>
      <c r="F23" s="153"/>
      <c r="G23" s="153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2:21">
      <c r="B24" s="24"/>
      <c r="C24" s="24"/>
      <c r="D24" s="153"/>
      <c r="E24" s="153"/>
      <c r="F24" s="153"/>
      <c r="G24" s="153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2:21">
      <c r="B25" s="24"/>
      <c r="C25" s="24"/>
      <c r="D25" s="153"/>
      <c r="E25" s="153"/>
      <c r="F25" s="153"/>
      <c r="G25" s="153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2:21">
      <c r="B26" s="24"/>
      <c r="C26" s="24"/>
      <c r="D26" s="153"/>
      <c r="E26" s="153"/>
      <c r="F26" s="153"/>
      <c r="G26" s="153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2:21">
      <c r="B27" s="24"/>
      <c r="C27" s="24"/>
      <c r="D27" s="153"/>
      <c r="E27" s="153"/>
      <c r="F27" s="153"/>
      <c r="G27" s="153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2:21">
      <c r="B28" s="24"/>
      <c r="C28" s="24"/>
      <c r="D28" s="154"/>
      <c r="E28" s="154"/>
      <c r="F28" s="154"/>
      <c r="G28" s="15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2:21">
      <c r="B29" s="24"/>
      <c r="C29" s="24"/>
      <c r="D29" s="154"/>
      <c r="E29" s="154"/>
      <c r="F29" s="154"/>
      <c r="G29" s="15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2:21">
      <c r="B30" s="24"/>
      <c r="C30" s="24"/>
      <c r="D30" s="154"/>
      <c r="E30" s="154"/>
      <c r="F30" s="154"/>
      <c r="G30" s="15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2:21">
      <c r="B31" s="24"/>
      <c r="C31" s="24"/>
      <c r="D31" s="154"/>
      <c r="E31" s="154"/>
      <c r="F31" s="154"/>
      <c r="G31" s="15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2:21">
      <c r="B32" s="24"/>
      <c r="C32" s="24"/>
      <c r="D32" s="154"/>
      <c r="E32" s="154"/>
      <c r="F32" s="154"/>
      <c r="G32" s="15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2:23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2:23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2:23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2:23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2:23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140" t="s">
        <v>62</v>
      </c>
      <c r="P37" s="299" t="str">
        <f>'Top Brand'!B8&amp;" ("&amp;_xlfn.TEXTBEFORE('Top Brand'!C8," ",1,,1)&amp;") "&amp;"~"&amp;ROUND('Top Brand'!J8,0)&amp;"Cr ~"&amp;TEXT('Top Brand'!T25,"0%")&amp;" GR ~"&amp;TEXT('Top Brand'!K8,"0%")&amp;" MS"</f>
        <v>TENTEX FORTE (HIMALAYA) ~25Cr ~7% GR ~18% MS</v>
      </c>
      <c r="Q37" s="299"/>
      <c r="R37" s="299"/>
      <c r="S37" s="299"/>
      <c r="T37" s="299"/>
      <c r="U37" s="299"/>
      <c r="W37" s="142" t="str">
        <f>_xlfn.TEXTBEFORE(P37,"~")</f>
        <v xml:space="preserve">TENTEX FORTE (HIMALAYA) </v>
      </c>
    </row>
    <row r="38" spans="2:23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140" t="s">
        <v>63</v>
      </c>
      <c r="P38" s="299" t="str">
        <f>'Top Brand'!B9&amp;" ("&amp;_xlfn.TEXTBEFORE('Top Brand'!C9," ",1,,1)&amp;") "&amp;"~"&amp;ROUND('Top Brand'!J9,0)&amp;"Cr ~"&amp;TEXT('Top Brand'!T26,"0%")&amp;" GR ~"&amp;TEXT('Top Brand'!K9,"0%")&amp;" MS"</f>
        <v>CONFIDO (HIMALAYA) ~21Cr ~4% GR ~15% MS</v>
      </c>
      <c r="Q38" s="299"/>
      <c r="R38" s="299"/>
      <c r="S38" s="299"/>
      <c r="T38" s="299"/>
      <c r="U38" s="299"/>
      <c r="W38" s="142" t="str">
        <f t="shared" ref="W38:W41" si="0">_xlfn.TEXTBEFORE(P38,"~")</f>
        <v xml:space="preserve">CONFIDO (HIMALAYA) </v>
      </c>
    </row>
    <row r="39" spans="2:23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140" t="s">
        <v>64</v>
      </c>
      <c r="P39" s="299" t="str">
        <f>'Top Brand'!B10&amp;" ("&amp;_xlfn.TEXTBEFORE('Top Brand'!C10," ",1,,1)&amp;") "&amp;"~"&amp;ROUND('Top Brand'!J10,0)&amp;"Cr ~"&amp;TEXT('Top Brand'!T27,"0%")&amp;" GR ~"&amp;TEXT('Top Brand'!K10,"0%")&amp;" MS"</f>
        <v>ADDYZOA (CHARAK) ~13Cr ~6% GR ~9% MS</v>
      </c>
      <c r="Q39" s="299"/>
      <c r="R39" s="299"/>
      <c r="S39" s="299"/>
      <c r="T39" s="299"/>
      <c r="U39" s="299"/>
      <c r="W39" s="142" t="str">
        <f t="shared" si="0"/>
        <v xml:space="preserve">ADDYZOA (CHARAK) </v>
      </c>
    </row>
    <row r="40" spans="2:2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W40" s="142"/>
    </row>
    <row r="41" spans="2:23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141" t="s">
        <v>345</v>
      </c>
      <c r="P41" s="300" t="str">
        <f>'Top Brand'!B6&amp;" ("&amp;_xlfn.TEXTBEFORE('Top Brand'!C6," ",1,,1)&amp;") "&amp;"~"&amp;ROUND('Top Brand'!J6,0)&amp;"Cr ~"&amp;TEXT('Top Brand'!T33,"0%")&amp;" growth ~"&amp;TEXT('Top Brand'!K6,"0%")&amp;" MS"</f>
        <v>VIRILEX (TTK) ~6Cr ~18% growth ~5% MS</v>
      </c>
      <c r="Q41" s="300"/>
      <c r="R41" s="300"/>
      <c r="S41" s="300"/>
      <c r="T41" s="300"/>
      <c r="U41" s="300"/>
      <c r="W41" s="142" t="str">
        <f t="shared" si="0"/>
        <v xml:space="preserve">VIRILEX (TTK) </v>
      </c>
    </row>
    <row r="42" spans="2:23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</sheetData>
  <mergeCells count="11">
    <mergeCell ref="P37:U37"/>
    <mergeCell ref="P38:U38"/>
    <mergeCell ref="P39:U39"/>
    <mergeCell ref="P41:U41"/>
    <mergeCell ref="C3:T6"/>
    <mergeCell ref="D9:G9"/>
    <mergeCell ref="D8:G8"/>
    <mergeCell ref="P8:S8"/>
    <mergeCell ref="P9:S9"/>
    <mergeCell ref="P10:S10"/>
    <mergeCell ref="P11:S11"/>
  </mergeCells>
  <phoneticPr fontId="9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F9FA-B659-FD4B-A009-127DE391C42C}">
  <dimension ref="B1:AP48"/>
  <sheetViews>
    <sheetView topLeftCell="E9" zoomScale="84" zoomScaleNormal="103" workbookViewId="0">
      <selection activeCell="S39" sqref="S39"/>
    </sheetView>
  </sheetViews>
  <sheetFormatPr defaultColWidth="10.8125" defaultRowHeight="15.75"/>
  <cols>
    <col min="1" max="1" width="10.8125" style="55"/>
    <col min="2" max="2" width="3.8125" style="55" customWidth="1"/>
    <col min="3" max="4" width="10.8125" style="55"/>
    <col min="5" max="5" width="14.8125" style="55" bestFit="1" customWidth="1"/>
    <col min="6" max="9" width="10.8125" style="55"/>
    <col min="10" max="10" width="10.8125" style="55" customWidth="1"/>
    <col min="11" max="18" width="10.8125" style="55"/>
    <col min="19" max="19" width="14.8125" style="55" customWidth="1"/>
    <col min="20" max="22" width="10.8125" style="55"/>
    <col min="23" max="23" width="3.8125" style="55" customWidth="1"/>
    <col min="24" max="16384" width="10.8125" style="55"/>
  </cols>
  <sheetData>
    <row r="1" spans="2:42" ht="8" customHeight="1"/>
    <row r="2" spans="2:42" ht="16.05" customHeight="1">
      <c r="C2" s="324" t="s">
        <v>378</v>
      </c>
      <c r="D2" s="324"/>
      <c r="E2" s="170" t="s">
        <v>451</v>
      </c>
      <c r="F2" s="325"/>
      <c r="G2" s="325"/>
      <c r="H2" s="325"/>
      <c r="I2" s="325"/>
      <c r="K2" s="324" t="s">
        <v>379</v>
      </c>
      <c r="L2" s="324"/>
      <c r="M2" s="326"/>
      <c r="N2" s="326"/>
      <c r="O2" s="326"/>
      <c r="Q2" s="324" t="s">
        <v>380</v>
      </c>
      <c r="R2" s="324"/>
      <c r="S2" s="170" t="s">
        <v>463</v>
      </c>
      <c r="T2" s="325"/>
      <c r="U2" s="325"/>
      <c r="V2" s="325"/>
      <c r="W2" s="325"/>
      <c r="AP2" s="63"/>
    </row>
    <row r="3" spans="2:42" ht="16.05" customHeight="1">
      <c r="C3" s="324"/>
      <c r="D3" s="324"/>
      <c r="E3" s="170" t="s">
        <v>452</v>
      </c>
      <c r="F3" s="325"/>
      <c r="G3" s="325"/>
      <c r="H3" s="325"/>
      <c r="I3" s="325"/>
      <c r="K3" s="324"/>
      <c r="L3" s="324"/>
      <c r="M3" s="326"/>
      <c r="N3" s="326"/>
      <c r="O3" s="326"/>
      <c r="Q3" s="324"/>
      <c r="R3" s="324"/>
      <c r="S3" s="170" t="s">
        <v>464</v>
      </c>
      <c r="T3" s="325"/>
      <c r="U3" s="325"/>
      <c r="V3" s="325"/>
      <c r="W3" s="325"/>
      <c r="AP3" s="63" t="str">
        <f>IF(F12="",C12,F12)</f>
        <v>Single Minded Proposition</v>
      </c>
    </row>
    <row r="4" spans="2:42" ht="16.05" customHeight="1">
      <c r="C4" s="324"/>
      <c r="D4" s="324"/>
      <c r="E4" s="170" t="s">
        <v>453</v>
      </c>
      <c r="F4" s="325"/>
      <c r="G4" s="325"/>
      <c r="H4" s="325"/>
      <c r="I4" s="325"/>
      <c r="K4" s="324"/>
      <c r="L4" s="324"/>
      <c r="M4" s="326"/>
      <c r="N4" s="326"/>
      <c r="O4" s="326"/>
      <c r="Q4" s="324"/>
      <c r="R4" s="324"/>
      <c r="S4" s="170" t="s">
        <v>465</v>
      </c>
      <c r="T4" s="325"/>
      <c r="U4" s="325"/>
      <c r="V4" s="325"/>
      <c r="W4" s="325"/>
      <c r="AP4" s="63" t="str">
        <f>IF(M7="",K7,M7)</f>
        <v>Key Customer Insight</v>
      </c>
    </row>
    <row r="5" spans="2:42" ht="16.05" customHeight="1">
      <c r="C5" s="324"/>
      <c r="D5" s="324"/>
      <c r="E5" s="170" t="s">
        <v>455</v>
      </c>
      <c r="F5" s="325"/>
      <c r="G5" s="325"/>
      <c r="H5" s="325"/>
      <c r="I5" s="325"/>
      <c r="K5" s="324"/>
      <c r="L5" s="324"/>
      <c r="M5" s="326"/>
      <c r="N5" s="326"/>
      <c r="O5" s="326"/>
      <c r="Q5" s="324"/>
      <c r="R5" s="324"/>
      <c r="S5" s="170" t="s">
        <v>466</v>
      </c>
      <c r="T5" s="325"/>
      <c r="U5" s="325"/>
      <c r="V5" s="325"/>
      <c r="W5" s="325"/>
      <c r="AP5" s="63" t="str">
        <f>IF(F13="",C13,F13)</f>
        <v>Brand essence</v>
      </c>
    </row>
    <row r="6" spans="2:42" ht="16.05" customHeight="1">
      <c r="C6" s="324"/>
      <c r="D6" s="324"/>
      <c r="E6" s="170" t="s">
        <v>456</v>
      </c>
      <c r="F6" s="325"/>
      <c r="G6" s="325"/>
      <c r="H6" s="325"/>
      <c r="I6" s="325"/>
      <c r="T6" s="171"/>
      <c r="U6" s="171"/>
      <c r="V6" s="171"/>
      <c r="W6" s="171"/>
    </row>
    <row r="7" spans="2:42" ht="16.05" customHeight="1">
      <c r="C7" s="324"/>
      <c r="D7" s="324"/>
      <c r="E7" s="170" t="s">
        <v>457</v>
      </c>
      <c r="F7" s="325"/>
      <c r="G7" s="325"/>
      <c r="H7" s="325"/>
      <c r="I7" s="325"/>
      <c r="K7" s="324" t="s">
        <v>461</v>
      </c>
      <c r="L7" s="324"/>
      <c r="M7" s="327"/>
      <c r="N7" s="327"/>
      <c r="O7" s="327"/>
      <c r="Q7" s="324" t="s">
        <v>381</v>
      </c>
      <c r="R7" s="324"/>
      <c r="S7" s="170" t="s">
        <v>463</v>
      </c>
      <c r="T7" s="325"/>
      <c r="U7" s="325"/>
      <c r="V7" s="325"/>
      <c r="W7" s="325"/>
    </row>
    <row r="8" spans="2:42" ht="16.05" customHeight="1">
      <c r="C8" s="324"/>
      <c r="D8" s="324"/>
      <c r="E8" s="170" t="s">
        <v>458</v>
      </c>
      <c r="F8" s="325"/>
      <c r="G8" s="325"/>
      <c r="H8" s="325"/>
      <c r="I8" s="325"/>
      <c r="K8" s="324"/>
      <c r="L8" s="324"/>
      <c r="M8" s="327"/>
      <c r="N8" s="327"/>
      <c r="O8" s="327"/>
      <c r="Q8" s="324"/>
      <c r="R8" s="324"/>
      <c r="S8" s="170" t="s">
        <v>464</v>
      </c>
      <c r="T8" s="325"/>
      <c r="U8" s="325"/>
      <c r="V8" s="325"/>
      <c r="W8" s="325"/>
    </row>
    <row r="9" spans="2:42" ht="16.05" customHeight="1">
      <c r="C9" s="324"/>
      <c r="D9" s="324"/>
      <c r="E9" s="170" t="s">
        <v>459</v>
      </c>
      <c r="F9" s="325"/>
      <c r="G9" s="325"/>
      <c r="H9" s="325"/>
      <c r="I9" s="325"/>
      <c r="K9" s="324"/>
      <c r="L9" s="324"/>
      <c r="M9" s="327"/>
      <c r="N9" s="327"/>
      <c r="O9" s="327"/>
      <c r="Q9" s="324"/>
      <c r="R9" s="324"/>
      <c r="S9" s="170" t="s">
        <v>465</v>
      </c>
      <c r="T9" s="325"/>
      <c r="U9" s="325"/>
      <c r="V9" s="325"/>
      <c r="W9" s="325"/>
    </row>
    <row r="10" spans="2:42" ht="16.05" customHeight="1">
      <c r="C10" s="324"/>
      <c r="D10" s="324"/>
      <c r="E10" s="170" t="s">
        <v>460</v>
      </c>
      <c r="F10" s="325"/>
      <c r="G10" s="325"/>
      <c r="H10" s="325"/>
      <c r="I10" s="325"/>
      <c r="K10" s="324"/>
      <c r="L10" s="324"/>
      <c r="M10" s="327"/>
      <c r="N10" s="327"/>
      <c r="O10" s="327"/>
      <c r="Q10" s="324"/>
      <c r="R10" s="324"/>
      <c r="S10" s="170" t="s">
        <v>466</v>
      </c>
      <c r="T10" s="325"/>
      <c r="U10" s="325"/>
      <c r="V10" s="325"/>
      <c r="W10" s="325"/>
    </row>
    <row r="12" spans="2:42" ht="21">
      <c r="C12" s="328" t="s">
        <v>462</v>
      </c>
      <c r="D12" s="328"/>
      <c r="E12" s="328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</row>
    <row r="13" spans="2:42" ht="21">
      <c r="C13" s="328" t="s">
        <v>474</v>
      </c>
      <c r="D13" s="328"/>
      <c r="E13" s="328"/>
      <c r="F13" s="329"/>
      <c r="G13" s="329"/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</row>
    <row r="15" spans="2:42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2:42" ht="16.05" customHeight="1">
      <c r="B16" s="24"/>
      <c r="C16" s="320" t="s">
        <v>378</v>
      </c>
      <c r="D16" s="320"/>
      <c r="E16" s="320"/>
      <c r="F16" s="320"/>
      <c r="G16" s="320"/>
      <c r="H16" s="320"/>
      <c r="I16" s="24"/>
      <c r="J16" s="24"/>
      <c r="K16" s="24"/>
      <c r="L16" s="24"/>
      <c r="M16" s="24"/>
      <c r="N16" s="24"/>
      <c r="O16" s="24"/>
      <c r="P16" s="24"/>
      <c r="Q16" s="320" t="s">
        <v>380</v>
      </c>
      <c r="R16" s="320"/>
      <c r="S16" s="320"/>
      <c r="T16" s="320"/>
      <c r="U16" s="320"/>
      <c r="V16" s="320"/>
      <c r="W16" s="24"/>
    </row>
    <row r="17" spans="2:23" ht="16.05" customHeight="1">
      <c r="B17" s="24"/>
      <c r="C17" s="320"/>
      <c r="D17" s="320"/>
      <c r="E17" s="320"/>
      <c r="F17" s="320"/>
      <c r="G17" s="320"/>
      <c r="H17" s="320"/>
      <c r="I17" s="24"/>
      <c r="J17" s="24"/>
      <c r="K17" s="24"/>
      <c r="L17" s="24"/>
      <c r="M17" s="24"/>
      <c r="N17" s="24"/>
      <c r="O17" s="24"/>
      <c r="P17" s="24"/>
      <c r="Q17" s="320"/>
      <c r="R17" s="320"/>
      <c r="S17" s="320"/>
      <c r="T17" s="320"/>
      <c r="U17" s="320"/>
      <c r="V17" s="320"/>
      <c r="W17" s="24"/>
    </row>
    <row r="18" spans="2:23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2:23" ht="16.05" customHeight="1">
      <c r="B19" s="24"/>
      <c r="C19" s="321" t="s">
        <v>450</v>
      </c>
      <c r="D19" s="330"/>
      <c r="E19" s="330"/>
      <c r="F19" s="330"/>
      <c r="G19" s="330"/>
      <c r="H19" s="331"/>
      <c r="I19" s="24"/>
      <c r="J19" s="24"/>
      <c r="K19" s="24"/>
      <c r="L19" s="24"/>
      <c r="M19" s="24"/>
      <c r="N19" s="24"/>
      <c r="O19" s="24"/>
      <c r="P19" s="24"/>
      <c r="Q19" s="321" t="s">
        <v>50</v>
      </c>
      <c r="R19" s="322"/>
      <c r="S19" s="322"/>
      <c r="T19" s="322"/>
      <c r="U19" s="322"/>
      <c r="V19" s="323"/>
      <c r="W19" s="24"/>
    </row>
    <row r="20" spans="2:23">
      <c r="B20" s="24"/>
      <c r="C20" s="305" t="str">
        <f>IF(F2="","","- "&amp;F2)</f>
        <v/>
      </c>
      <c r="D20" s="306"/>
      <c r="E20" s="306"/>
      <c r="F20" s="306"/>
      <c r="G20" s="306"/>
      <c r="H20" s="307"/>
      <c r="I20" s="24"/>
      <c r="J20" s="24"/>
      <c r="K20" s="24"/>
      <c r="L20" s="24"/>
      <c r="M20" s="24"/>
      <c r="N20" s="24"/>
      <c r="O20" s="24"/>
      <c r="P20" s="24"/>
      <c r="Q20" s="305" t="str">
        <f>IF(T2="","","- "&amp;T2)</f>
        <v/>
      </c>
      <c r="R20" s="306"/>
      <c r="S20" s="306"/>
      <c r="T20" s="306"/>
      <c r="U20" s="306"/>
      <c r="V20" s="307"/>
      <c r="W20" s="24"/>
    </row>
    <row r="21" spans="2:23">
      <c r="B21" s="24"/>
      <c r="C21" s="305" t="str">
        <f>IF(F3="","","- "&amp;F3)</f>
        <v/>
      </c>
      <c r="D21" s="306"/>
      <c r="E21" s="306"/>
      <c r="F21" s="306"/>
      <c r="G21" s="306"/>
      <c r="H21" s="307"/>
      <c r="I21" s="24"/>
      <c r="J21" s="24"/>
      <c r="K21" s="24"/>
      <c r="L21" s="24"/>
      <c r="M21" s="24"/>
      <c r="N21" s="24"/>
      <c r="O21" s="24"/>
      <c r="P21" s="24"/>
      <c r="Q21" s="305" t="str">
        <f>IF(T3="","","- "&amp;T3)</f>
        <v/>
      </c>
      <c r="R21" s="306"/>
      <c r="S21" s="306"/>
      <c r="T21" s="306"/>
      <c r="U21" s="306"/>
      <c r="V21" s="307"/>
      <c r="W21" s="24"/>
    </row>
    <row r="22" spans="2:23">
      <c r="B22" s="24"/>
      <c r="C22" s="305" t="str">
        <f>IF(F4="","","- "&amp;F4)</f>
        <v/>
      </c>
      <c r="D22" s="306"/>
      <c r="E22" s="306"/>
      <c r="F22" s="306"/>
      <c r="G22" s="306"/>
      <c r="H22" s="307"/>
      <c r="I22" s="24"/>
      <c r="J22" s="24"/>
      <c r="K22" s="24"/>
      <c r="L22" s="24"/>
      <c r="M22" s="24"/>
      <c r="N22" s="24"/>
      <c r="O22" s="24"/>
      <c r="P22" s="24"/>
      <c r="Q22" s="172"/>
      <c r="R22" s="173"/>
      <c r="S22" s="173"/>
      <c r="T22" s="173"/>
      <c r="U22" s="173"/>
      <c r="V22" s="174"/>
      <c r="W22" s="24"/>
    </row>
    <row r="23" spans="2:23" ht="16.05" customHeight="1">
      <c r="B23" s="24"/>
      <c r="C23" s="172"/>
      <c r="D23" s="173"/>
      <c r="E23" s="173"/>
      <c r="F23" s="173"/>
      <c r="G23" s="173"/>
      <c r="H23" s="174"/>
      <c r="I23" s="24"/>
      <c r="J23" s="24"/>
      <c r="K23" s="24"/>
      <c r="L23" s="24"/>
      <c r="M23" s="24"/>
      <c r="N23" s="24"/>
      <c r="O23" s="24"/>
      <c r="P23" s="24"/>
      <c r="Q23" s="178" t="s">
        <v>468</v>
      </c>
      <c r="R23" s="173"/>
      <c r="S23" s="173"/>
      <c r="T23" s="173"/>
      <c r="U23" s="173"/>
      <c r="V23" s="174"/>
      <c r="W23" s="24"/>
    </row>
    <row r="24" spans="2:23">
      <c r="B24" s="24"/>
      <c r="C24" s="308" t="s">
        <v>454</v>
      </c>
      <c r="D24" s="309"/>
      <c r="E24" s="309"/>
      <c r="F24" s="309"/>
      <c r="G24" s="309"/>
      <c r="H24" s="310"/>
      <c r="I24" s="24"/>
      <c r="J24" s="24"/>
      <c r="K24" s="24"/>
      <c r="L24" s="24"/>
      <c r="M24" s="24"/>
      <c r="N24" s="24"/>
      <c r="O24" s="24"/>
      <c r="P24" s="24"/>
      <c r="Q24" s="305" t="str">
        <f>IF(T4="","","- "&amp;T4)</f>
        <v/>
      </c>
      <c r="R24" s="306"/>
      <c r="S24" s="306"/>
      <c r="T24" s="306"/>
      <c r="U24" s="306"/>
      <c r="V24" s="307"/>
      <c r="W24" s="24"/>
    </row>
    <row r="25" spans="2:23">
      <c r="B25" s="24"/>
      <c r="C25" s="305" t="str">
        <f>IF(F5="","","- "&amp;F5)</f>
        <v/>
      </c>
      <c r="D25" s="306"/>
      <c r="E25" s="306"/>
      <c r="F25" s="306"/>
      <c r="G25" s="306"/>
      <c r="H25" s="307"/>
      <c r="I25" s="24"/>
      <c r="J25" s="24"/>
      <c r="K25" s="24"/>
      <c r="L25" s="24"/>
      <c r="M25" s="24"/>
      <c r="N25" s="24"/>
      <c r="O25" s="24"/>
      <c r="P25" s="24"/>
      <c r="Q25" s="305" t="str">
        <f>IF(T5="","","- "&amp;T5)</f>
        <v/>
      </c>
      <c r="R25" s="306"/>
      <c r="S25" s="306"/>
      <c r="T25" s="306"/>
      <c r="U25" s="306"/>
      <c r="V25" s="307"/>
      <c r="W25" s="24"/>
    </row>
    <row r="26" spans="2:23">
      <c r="B26" s="24"/>
      <c r="C26" s="305" t="str">
        <f>IF(F6="","","- "&amp;F6)</f>
        <v/>
      </c>
      <c r="D26" s="306"/>
      <c r="E26" s="306"/>
      <c r="F26" s="306"/>
      <c r="G26" s="306"/>
      <c r="H26" s="307"/>
      <c r="I26" s="24"/>
      <c r="J26" s="24"/>
      <c r="K26" s="24"/>
      <c r="L26" s="24"/>
      <c r="M26" s="24"/>
      <c r="N26" s="24"/>
      <c r="O26" s="24"/>
      <c r="P26" s="24"/>
      <c r="Q26" s="305"/>
      <c r="R26" s="306"/>
      <c r="S26" s="306"/>
      <c r="T26" s="306"/>
      <c r="U26" s="306"/>
      <c r="V26" s="307"/>
      <c r="W26" s="24"/>
    </row>
    <row r="27" spans="2:23">
      <c r="B27" s="24"/>
      <c r="C27" s="305" t="str">
        <f>IF(F7="","","- "&amp;F7)</f>
        <v/>
      </c>
      <c r="D27" s="306"/>
      <c r="E27" s="306"/>
      <c r="F27" s="306"/>
      <c r="G27" s="306"/>
      <c r="H27" s="307"/>
      <c r="I27" s="24"/>
      <c r="J27" s="24"/>
      <c r="K27" s="24"/>
      <c r="L27" s="24"/>
      <c r="M27" s="24"/>
      <c r="N27" s="24"/>
      <c r="O27" s="24"/>
      <c r="P27" s="24"/>
      <c r="Q27" s="172"/>
      <c r="R27" s="173"/>
      <c r="S27" s="173"/>
      <c r="T27" s="173"/>
      <c r="U27" s="173"/>
      <c r="V27" s="174"/>
      <c r="W27" s="24"/>
    </row>
    <row r="28" spans="2:23">
      <c r="B28" s="24"/>
      <c r="C28" s="172"/>
      <c r="D28" s="173"/>
      <c r="E28" s="173"/>
      <c r="F28" s="173"/>
      <c r="G28" s="173"/>
      <c r="H28" s="174"/>
      <c r="I28" s="24"/>
      <c r="J28" s="24"/>
      <c r="K28" s="24"/>
      <c r="L28" s="24"/>
      <c r="M28" s="24"/>
      <c r="N28" s="24"/>
      <c r="O28" s="24"/>
      <c r="P28" s="24"/>
      <c r="Q28" s="172"/>
      <c r="R28" s="173"/>
      <c r="S28" s="173"/>
      <c r="T28" s="173"/>
      <c r="U28" s="173"/>
      <c r="V28" s="174"/>
      <c r="W28" s="24"/>
    </row>
    <row r="29" spans="2:23">
      <c r="B29" s="24"/>
      <c r="C29" s="308" t="s">
        <v>467</v>
      </c>
      <c r="D29" s="309"/>
      <c r="E29" s="309"/>
      <c r="F29" s="309"/>
      <c r="G29" s="309"/>
      <c r="H29" s="310"/>
      <c r="I29" s="24"/>
      <c r="J29" s="24"/>
      <c r="K29" s="24"/>
      <c r="L29" s="24"/>
      <c r="M29" s="24"/>
      <c r="N29" s="24"/>
      <c r="O29" s="24"/>
      <c r="P29" s="24"/>
      <c r="Q29" s="172"/>
      <c r="R29" s="173"/>
      <c r="S29" s="173"/>
      <c r="T29" s="173"/>
      <c r="U29" s="173"/>
      <c r="V29" s="174"/>
      <c r="W29" s="24"/>
    </row>
    <row r="30" spans="2:23">
      <c r="B30" s="24"/>
      <c r="C30" s="305" t="str">
        <f>IF(F8="","","- "&amp;F8)</f>
        <v/>
      </c>
      <c r="D30" s="306"/>
      <c r="E30" s="306"/>
      <c r="F30" s="306"/>
      <c r="G30" s="306"/>
      <c r="H30" s="307"/>
      <c r="I30" s="24"/>
      <c r="J30" s="24"/>
      <c r="K30" s="24"/>
      <c r="L30" s="24"/>
      <c r="M30" s="24"/>
      <c r="N30" s="24"/>
      <c r="O30" s="24"/>
      <c r="P30" s="24"/>
      <c r="Q30" s="172"/>
      <c r="R30" s="173"/>
      <c r="S30" s="173"/>
      <c r="T30" s="173"/>
      <c r="U30" s="173"/>
      <c r="V30" s="174"/>
      <c r="W30" s="24"/>
    </row>
    <row r="31" spans="2:23">
      <c r="B31" s="24"/>
      <c r="C31" s="305" t="str">
        <f>IF(F9="","","- "&amp;F9)</f>
        <v/>
      </c>
      <c r="D31" s="306"/>
      <c r="E31" s="306"/>
      <c r="F31" s="306"/>
      <c r="G31" s="306"/>
      <c r="H31" s="307"/>
      <c r="I31" s="24"/>
      <c r="J31" s="24"/>
      <c r="K31" s="24"/>
      <c r="L31" s="24"/>
      <c r="M31" s="24"/>
      <c r="N31" s="24"/>
      <c r="O31" s="24"/>
      <c r="P31" s="24"/>
      <c r="Q31" s="172"/>
      <c r="R31" s="173"/>
      <c r="S31" s="173"/>
      <c r="T31" s="173"/>
      <c r="U31" s="173"/>
      <c r="V31" s="174"/>
      <c r="W31" s="24"/>
    </row>
    <row r="32" spans="2:23">
      <c r="B32" s="24"/>
      <c r="C32" s="305" t="str">
        <f>IF(F10="","","- "&amp;F10)</f>
        <v/>
      </c>
      <c r="D32" s="306"/>
      <c r="E32" s="306"/>
      <c r="F32" s="306"/>
      <c r="G32" s="306"/>
      <c r="H32" s="307"/>
      <c r="I32" s="24"/>
      <c r="J32" s="24"/>
      <c r="K32" s="24"/>
      <c r="L32" s="24"/>
      <c r="M32" s="24"/>
      <c r="N32" s="24"/>
      <c r="O32" s="24"/>
      <c r="P32" s="24"/>
      <c r="Q32" s="172"/>
      <c r="R32" s="173"/>
      <c r="S32" s="173"/>
      <c r="T32" s="173"/>
      <c r="U32" s="173"/>
      <c r="V32" s="174"/>
      <c r="W32" s="24"/>
    </row>
    <row r="33" spans="2:23">
      <c r="B33" s="24"/>
      <c r="C33" s="172"/>
      <c r="D33" s="173"/>
      <c r="E33" s="173"/>
      <c r="F33" s="173"/>
      <c r="G33" s="173"/>
      <c r="H33" s="174"/>
      <c r="I33" s="24"/>
      <c r="J33" s="24"/>
      <c r="K33" s="24"/>
      <c r="L33" s="24"/>
      <c r="M33" s="24"/>
      <c r="N33" s="24"/>
      <c r="O33" s="24"/>
      <c r="P33" s="24"/>
      <c r="Q33" s="172"/>
      <c r="R33" s="173"/>
      <c r="S33" s="173"/>
      <c r="T33" s="173"/>
      <c r="U33" s="173"/>
      <c r="V33" s="174"/>
      <c r="W33" s="24"/>
    </row>
    <row r="34" spans="2:23">
      <c r="B34" s="24"/>
      <c r="C34" s="175"/>
      <c r="D34" s="176"/>
      <c r="E34" s="176"/>
      <c r="F34" s="176"/>
      <c r="G34" s="176"/>
      <c r="H34" s="177"/>
      <c r="I34" s="24"/>
      <c r="J34" s="24"/>
      <c r="K34" s="24"/>
      <c r="L34" s="24"/>
      <c r="M34" s="24"/>
      <c r="N34" s="24"/>
      <c r="O34" s="24"/>
      <c r="P34" s="24"/>
      <c r="Q34" s="175"/>
      <c r="R34" s="176"/>
      <c r="S34" s="176"/>
      <c r="T34" s="176"/>
      <c r="U34" s="176"/>
      <c r="V34" s="177"/>
      <c r="W34" s="24"/>
    </row>
    <row r="35" spans="2:23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  <row r="36" spans="2:23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 spans="2:23" ht="16.05" customHeight="1">
      <c r="B37" s="24"/>
      <c r="C37" s="320" t="s">
        <v>379</v>
      </c>
      <c r="D37" s="320"/>
      <c r="E37" s="320"/>
      <c r="F37" s="320"/>
      <c r="G37" s="320"/>
      <c r="H37" s="320"/>
      <c r="I37" s="24"/>
      <c r="J37" s="24"/>
      <c r="K37" s="24"/>
      <c r="L37" s="24"/>
      <c r="M37" s="24"/>
      <c r="N37" s="24"/>
      <c r="O37" s="24"/>
      <c r="P37" s="24"/>
      <c r="Q37" s="320" t="s">
        <v>381</v>
      </c>
      <c r="R37" s="320"/>
      <c r="S37" s="320"/>
      <c r="T37" s="320"/>
      <c r="U37" s="320"/>
      <c r="V37" s="320"/>
      <c r="W37" s="24"/>
    </row>
    <row r="38" spans="2:23" ht="16.05" customHeight="1">
      <c r="B38" s="24"/>
      <c r="C38" s="320"/>
      <c r="D38" s="320"/>
      <c r="E38" s="320"/>
      <c r="F38" s="320"/>
      <c r="G38" s="320"/>
      <c r="H38" s="320"/>
      <c r="I38" s="24"/>
      <c r="J38" s="24"/>
      <c r="K38" s="24"/>
      <c r="L38" s="24"/>
      <c r="M38" s="24"/>
      <c r="N38" s="24"/>
      <c r="O38" s="24"/>
      <c r="P38" s="24"/>
      <c r="Q38" s="320"/>
      <c r="R38" s="320"/>
      <c r="S38" s="320"/>
      <c r="T38" s="320"/>
      <c r="U38" s="320"/>
      <c r="V38" s="320"/>
      <c r="W38" s="24"/>
    </row>
    <row r="39" spans="2:23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2:23" ht="16.05" customHeight="1">
      <c r="B40" s="24"/>
      <c r="C40" s="311" t="str">
        <f>IF(M2="","","- "&amp;M2)</f>
        <v/>
      </c>
      <c r="D40" s="312"/>
      <c r="E40" s="312"/>
      <c r="F40" s="312"/>
      <c r="G40" s="312"/>
      <c r="H40" s="313"/>
      <c r="I40" s="24"/>
      <c r="J40" s="24"/>
      <c r="K40" s="24"/>
      <c r="L40" s="24"/>
      <c r="M40" s="24"/>
      <c r="N40" s="24"/>
      <c r="O40" s="24"/>
      <c r="P40" s="24"/>
      <c r="Q40" s="321" t="s">
        <v>50</v>
      </c>
      <c r="R40" s="322"/>
      <c r="S40" s="322"/>
      <c r="T40" s="322"/>
      <c r="U40" s="322"/>
      <c r="V40" s="323"/>
      <c r="W40" s="24"/>
    </row>
    <row r="41" spans="2:23">
      <c r="B41" s="24"/>
      <c r="C41" s="314"/>
      <c r="D41" s="315"/>
      <c r="E41" s="315"/>
      <c r="F41" s="315"/>
      <c r="G41" s="315"/>
      <c r="H41" s="316"/>
      <c r="I41" s="24"/>
      <c r="J41" s="24"/>
      <c r="K41" s="24"/>
      <c r="L41" s="24"/>
      <c r="M41" s="24"/>
      <c r="N41" s="24"/>
      <c r="O41" s="24"/>
      <c r="P41" s="24"/>
      <c r="Q41" s="305" t="str">
        <f>IF(T7="","","- "&amp;T7)</f>
        <v/>
      </c>
      <c r="R41" s="306"/>
      <c r="S41" s="306"/>
      <c r="T41" s="306"/>
      <c r="U41" s="306"/>
      <c r="V41" s="307"/>
      <c r="W41" s="24"/>
    </row>
    <row r="42" spans="2:23">
      <c r="B42" s="24"/>
      <c r="C42" s="314"/>
      <c r="D42" s="315"/>
      <c r="E42" s="315"/>
      <c r="F42" s="315"/>
      <c r="G42" s="315"/>
      <c r="H42" s="316"/>
      <c r="I42" s="24"/>
      <c r="J42" s="24"/>
      <c r="K42" s="24"/>
      <c r="L42" s="24"/>
      <c r="M42" s="24"/>
      <c r="N42" s="24"/>
      <c r="O42" s="24"/>
      <c r="P42" s="24"/>
      <c r="Q42" s="305" t="str">
        <f>IF(T8="","","- "&amp;T8)</f>
        <v/>
      </c>
      <c r="R42" s="306"/>
      <c r="S42" s="306"/>
      <c r="T42" s="306"/>
      <c r="U42" s="306"/>
      <c r="V42" s="307"/>
      <c r="W42" s="24"/>
    </row>
    <row r="43" spans="2:23">
      <c r="B43" s="24"/>
      <c r="C43" s="314"/>
      <c r="D43" s="315"/>
      <c r="E43" s="315"/>
      <c r="F43" s="315"/>
      <c r="G43" s="315"/>
      <c r="H43" s="316"/>
      <c r="I43" s="24"/>
      <c r="J43" s="24"/>
      <c r="K43" s="24"/>
      <c r="L43" s="24"/>
      <c r="M43" s="24"/>
      <c r="N43" s="24"/>
      <c r="O43" s="24"/>
      <c r="P43" s="24"/>
      <c r="Q43" s="172"/>
      <c r="R43" s="173"/>
      <c r="S43" s="173"/>
      <c r="T43" s="173"/>
      <c r="U43" s="173"/>
      <c r="V43" s="174"/>
      <c r="W43" s="24"/>
    </row>
    <row r="44" spans="2:23">
      <c r="B44" s="24"/>
      <c r="C44" s="314"/>
      <c r="D44" s="315"/>
      <c r="E44" s="315"/>
      <c r="F44" s="315"/>
      <c r="G44" s="315"/>
      <c r="H44" s="316"/>
      <c r="I44" s="24"/>
      <c r="J44" s="24"/>
      <c r="K44" s="24"/>
      <c r="L44" s="24"/>
      <c r="M44" s="24"/>
      <c r="N44" s="24"/>
      <c r="O44" s="24"/>
      <c r="P44" s="24"/>
      <c r="Q44" s="178" t="s">
        <v>468</v>
      </c>
      <c r="R44" s="173"/>
      <c r="S44" s="173"/>
      <c r="T44" s="173"/>
      <c r="U44" s="173"/>
      <c r="V44" s="174"/>
      <c r="W44" s="24"/>
    </row>
    <row r="45" spans="2:23">
      <c r="B45" s="24"/>
      <c r="C45" s="314"/>
      <c r="D45" s="315"/>
      <c r="E45" s="315"/>
      <c r="F45" s="315"/>
      <c r="G45" s="315"/>
      <c r="H45" s="316"/>
      <c r="I45" s="24"/>
      <c r="J45" s="24"/>
      <c r="K45" s="24"/>
      <c r="L45" s="24"/>
      <c r="M45" s="24"/>
      <c r="N45" s="24"/>
      <c r="O45" s="24"/>
      <c r="P45" s="24"/>
      <c r="Q45" s="305" t="str">
        <f>IF(T9="","","- "&amp;T9)</f>
        <v/>
      </c>
      <c r="R45" s="306"/>
      <c r="S45" s="306"/>
      <c r="T45" s="306"/>
      <c r="U45" s="306"/>
      <c r="V45" s="307"/>
      <c r="W45" s="24"/>
    </row>
    <row r="46" spans="2:23" ht="16.05" customHeight="1">
      <c r="B46" s="24"/>
      <c r="C46" s="317"/>
      <c r="D46" s="318"/>
      <c r="E46" s="318"/>
      <c r="F46" s="318"/>
      <c r="G46" s="318"/>
      <c r="H46" s="319"/>
      <c r="I46" s="24"/>
      <c r="J46" s="24"/>
      <c r="K46" s="24"/>
      <c r="L46" s="24"/>
      <c r="M46" s="24"/>
      <c r="N46" s="24"/>
      <c r="O46" s="24"/>
      <c r="P46" s="24"/>
      <c r="Q46" s="175" t="str">
        <f>IF(T10="","","- "&amp;T10)</f>
        <v/>
      </c>
      <c r="R46" s="176"/>
      <c r="S46" s="176"/>
      <c r="T46" s="176"/>
      <c r="U46" s="176"/>
      <c r="V46" s="177"/>
      <c r="W46" s="24"/>
    </row>
    <row r="47" spans="2:23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 spans="2:23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</row>
  </sheetData>
  <mergeCells count="55">
    <mergeCell ref="C13:E13"/>
    <mergeCell ref="F13:W13"/>
    <mergeCell ref="C26:H26"/>
    <mergeCell ref="C27:H27"/>
    <mergeCell ref="F6:I6"/>
    <mergeCell ref="F7:I7"/>
    <mergeCell ref="F8:I8"/>
    <mergeCell ref="C19:H19"/>
    <mergeCell ref="C20:H20"/>
    <mergeCell ref="C21:H21"/>
    <mergeCell ref="C22:H22"/>
    <mergeCell ref="C24:H24"/>
    <mergeCell ref="C12:E12"/>
    <mergeCell ref="F12:W12"/>
    <mergeCell ref="T8:W8"/>
    <mergeCell ref="T9:W9"/>
    <mergeCell ref="C2:D10"/>
    <mergeCell ref="F4:I4"/>
    <mergeCell ref="F5:I5"/>
    <mergeCell ref="F9:I9"/>
    <mergeCell ref="F10:I10"/>
    <mergeCell ref="Q2:R5"/>
    <mergeCell ref="Q7:R10"/>
    <mergeCell ref="F2:I2"/>
    <mergeCell ref="F3:I3"/>
    <mergeCell ref="T2:W2"/>
    <mergeCell ref="T3:W3"/>
    <mergeCell ref="T4:W4"/>
    <mergeCell ref="T5:W5"/>
    <mergeCell ref="T7:W7"/>
    <mergeCell ref="K2:L5"/>
    <mergeCell ref="M2:O5"/>
    <mergeCell ref="K7:L10"/>
    <mergeCell ref="M7:O10"/>
    <mergeCell ref="T10:W10"/>
    <mergeCell ref="Q19:V19"/>
    <mergeCell ref="C16:H17"/>
    <mergeCell ref="Q40:V40"/>
    <mergeCell ref="Q41:V41"/>
    <mergeCell ref="Q42:V42"/>
    <mergeCell ref="Q26:V26"/>
    <mergeCell ref="Q20:V20"/>
    <mergeCell ref="Q21:V21"/>
    <mergeCell ref="Q24:V24"/>
    <mergeCell ref="Q25:V25"/>
    <mergeCell ref="Q16:V17"/>
    <mergeCell ref="C25:H25"/>
    <mergeCell ref="Q45:V45"/>
    <mergeCell ref="C29:H29"/>
    <mergeCell ref="C30:H30"/>
    <mergeCell ref="C31:H31"/>
    <mergeCell ref="C32:H32"/>
    <mergeCell ref="C40:H46"/>
    <mergeCell ref="Q37:V38"/>
    <mergeCell ref="C37:H38"/>
  </mergeCells>
  <phoneticPr fontId="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C3DC-E4F0-0049-ADAE-695655AC66D9}">
  <dimension ref="A1:N12"/>
  <sheetViews>
    <sheetView zoomScale="90" zoomScaleNormal="90" workbookViewId="0">
      <selection activeCell="K2" sqref="K2"/>
    </sheetView>
  </sheetViews>
  <sheetFormatPr defaultColWidth="10.8125" defaultRowHeight="15.75" outlineLevelCol="1"/>
  <cols>
    <col min="1" max="1" width="14" style="53" customWidth="1"/>
    <col min="2" max="2" width="10.8125" style="53"/>
    <col min="3" max="3" width="8.5" style="53" bestFit="1" customWidth="1"/>
    <col min="4" max="4" width="8.8125" style="53" bestFit="1" customWidth="1"/>
    <col min="5" max="9" width="5.8125" style="53" customWidth="1" outlineLevel="1"/>
    <col min="10" max="14" width="15.8125" style="53" customWidth="1"/>
    <col min="15" max="16384" width="10.8125" style="53"/>
  </cols>
  <sheetData>
    <row r="1" spans="1:14" s="211" customFormat="1" ht="21">
      <c r="A1" s="206" t="s">
        <v>105</v>
      </c>
      <c r="B1" s="206"/>
      <c r="C1" s="207" t="s">
        <v>496</v>
      </c>
      <c r="D1" s="207" t="s">
        <v>497</v>
      </c>
      <c r="E1" s="208" t="s">
        <v>498</v>
      </c>
      <c r="F1" s="208" t="s">
        <v>499</v>
      </c>
      <c r="G1" s="208" t="s">
        <v>500</v>
      </c>
      <c r="H1" s="208" t="s">
        <v>501</v>
      </c>
      <c r="I1" s="209" t="s">
        <v>502</v>
      </c>
      <c r="J1" s="210" t="s">
        <v>73</v>
      </c>
      <c r="K1" s="210" t="s">
        <v>74</v>
      </c>
      <c r="L1" s="210" t="s">
        <v>75</v>
      </c>
      <c r="M1" s="210" t="s">
        <v>76</v>
      </c>
      <c r="N1" s="210" t="s">
        <v>77</v>
      </c>
    </row>
    <row r="2" spans="1:14" ht="20" customHeight="1">
      <c r="A2" s="54" t="s">
        <v>84</v>
      </c>
      <c r="B2" s="52" t="s">
        <v>79</v>
      </c>
      <c r="C2" s="201">
        <f>IF(A2="","",_xlfn.XLOOKUP(A2,Tools!$A$2:$A$29,Tools!$B$2:$B$29))</f>
        <v>0</v>
      </c>
      <c r="D2" s="201"/>
      <c r="E2" s="205"/>
      <c r="F2" s="205"/>
      <c r="G2" s="205"/>
      <c r="H2" s="205"/>
      <c r="I2" s="205"/>
      <c r="J2" s="202" t="str">
        <f>IF(E2="","",$C2*E2)</f>
        <v/>
      </c>
      <c r="K2" s="202" t="str">
        <f t="shared" ref="K2:K5" si="0">IF(F2="","",$C2*F2)</f>
        <v/>
      </c>
      <c r="L2" s="203" t="str">
        <f t="shared" ref="L2:L5" si="1">IF(G2="","",$C2*G2)</f>
        <v/>
      </c>
      <c r="M2" s="204" t="str">
        <f t="shared" ref="M2:M5" si="2">IF(H2="","",$C2*H2)</f>
        <v/>
      </c>
      <c r="N2" s="204" t="str">
        <f t="shared" ref="N2:N5" si="3">IF(I2="","",$C2*I2)</f>
        <v/>
      </c>
    </row>
    <row r="3" spans="1:14" ht="20" customHeight="1">
      <c r="A3" s="54"/>
      <c r="B3" s="52" t="s">
        <v>80</v>
      </c>
      <c r="C3" s="201" t="str">
        <f>IF(A3="","",_xlfn.XLOOKUP(A3,Tools!$A$2:$A$29,Tools!$B$2:$B$29))</f>
        <v/>
      </c>
      <c r="D3" s="201"/>
      <c r="E3" s="205"/>
      <c r="F3" s="205"/>
      <c r="G3" s="205"/>
      <c r="H3" s="205"/>
      <c r="I3" s="205"/>
      <c r="J3" s="202" t="str">
        <f t="shared" ref="J3:J5" si="4">IF(E3="","",$C3*E3)</f>
        <v/>
      </c>
      <c r="K3" s="202" t="str">
        <f t="shared" si="0"/>
        <v/>
      </c>
      <c r="L3" s="203" t="str">
        <f t="shared" si="1"/>
        <v/>
      </c>
      <c r="M3" s="204" t="str">
        <f t="shared" si="2"/>
        <v/>
      </c>
      <c r="N3" s="204" t="str">
        <f t="shared" si="3"/>
        <v/>
      </c>
    </row>
    <row r="4" spans="1:14" ht="20" customHeight="1">
      <c r="A4" s="54"/>
      <c r="B4" s="52" t="s">
        <v>81</v>
      </c>
      <c r="C4" s="201" t="str">
        <f>IF(A4="","",_xlfn.XLOOKUP(A4,Tools!$A$2:$A$29,Tools!$B$2:$B$29))</f>
        <v/>
      </c>
      <c r="D4" s="201"/>
      <c r="E4" s="205"/>
      <c r="F4" s="205"/>
      <c r="G4" s="205"/>
      <c r="H4" s="205"/>
      <c r="I4" s="205"/>
      <c r="J4" s="203" t="str">
        <f t="shared" si="4"/>
        <v/>
      </c>
      <c r="K4" s="203" t="str">
        <f t="shared" si="0"/>
        <v/>
      </c>
      <c r="L4" s="203" t="str">
        <f t="shared" si="1"/>
        <v/>
      </c>
      <c r="M4" s="204" t="str">
        <f t="shared" si="2"/>
        <v/>
      </c>
      <c r="N4" s="204" t="str">
        <f t="shared" si="3"/>
        <v/>
      </c>
    </row>
    <row r="5" spans="1:14" ht="20" customHeight="1">
      <c r="A5" s="262" t="s">
        <v>82</v>
      </c>
      <c r="B5" s="262"/>
      <c r="C5" s="201"/>
      <c r="D5" s="201"/>
      <c r="E5" s="205"/>
      <c r="F5" s="205"/>
      <c r="G5" s="205"/>
      <c r="H5" s="205"/>
      <c r="I5" s="205"/>
      <c r="J5" s="204" t="str">
        <f t="shared" si="4"/>
        <v/>
      </c>
      <c r="K5" s="204" t="str">
        <f t="shared" si="0"/>
        <v/>
      </c>
      <c r="L5" s="204" t="str">
        <f t="shared" si="1"/>
        <v/>
      </c>
      <c r="M5" s="204" t="str">
        <f t="shared" si="2"/>
        <v/>
      </c>
      <c r="N5" s="204" t="str">
        <f t="shared" si="3"/>
        <v/>
      </c>
    </row>
    <row r="8" spans="1:14">
      <c r="A8" s="109"/>
      <c r="E8" s="332" t="str">
        <f>IF(A2="","",IF(SUM(E2:I2)&lt;&gt;100%,"Total for row 2 needs to be 100%",""))</f>
        <v>Total for row 2 needs to be 100%</v>
      </c>
      <c r="F8" s="332"/>
      <c r="G8" s="332"/>
      <c r="H8" s="332"/>
      <c r="I8" s="332"/>
    </row>
    <row r="9" spans="1:14">
      <c r="A9" s="109"/>
      <c r="E9" s="332" t="str">
        <f>IF(A3="","",IF(SUM(E3:I3)&lt;&gt;100%,"Total for row 3 needs to be 100%",""))</f>
        <v/>
      </c>
      <c r="F9" s="332"/>
      <c r="G9" s="332"/>
      <c r="H9" s="332"/>
      <c r="I9" s="332"/>
    </row>
    <row r="10" spans="1:14">
      <c r="A10" s="180"/>
      <c r="E10" s="332" t="str">
        <f>IF(A4="","",IF(SUM(E4:I4)&lt;&gt;100%,"Total for row 4 needs to be 100%",""))</f>
        <v/>
      </c>
      <c r="F10" s="332"/>
      <c r="G10" s="332"/>
      <c r="H10" s="332"/>
      <c r="I10" s="332"/>
    </row>
    <row r="11" spans="1:14">
      <c r="A11" s="180"/>
      <c r="E11" s="332" t="str">
        <f>IF(SUM(E5:I5)=0,"",IF(SUM(E5:I5)&lt;&gt;100%,"Total for row 5 needs to be 100%",""))</f>
        <v/>
      </c>
      <c r="F11" s="332"/>
      <c r="G11" s="332"/>
      <c r="H11" s="332"/>
      <c r="I11" s="332"/>
    </row>
    <row r="12" spans="1:14">
      <c r="A12" s="180"/>
    </row>
  </sheetData>
  <mergeCells count="5">
    <mergeCell ref="A5:B5"/>
    <mergeCell ref="E8:I8"/>
    <mergeCell ref="E9:I9"/>
    <mergeCell ref="E10:I10"/>
    <mergeCell ref="E11:I11"/>
  </mergeCells>
  <conditionalFormatting sqref="E8:E11">
    <cfRule type="cellIs" dxfId="1" priority="1" operator="greaterThan">
      <formula>""""""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8060DB-5BE6-1A45-9171-0EA2D9B1E163}">
          <x14:formula1>
            <xm:f>Tools!$A$2:$A$29</xm:f>
          </x14:formula1>
          <xm:sqref>A2:A4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C422-5EF7-0542-B92F-5218F423AADC}">
  <dimension ref="B3:U41"/>
  <sheetViews>
    <sheetView zoomScale="60" zoomScaleNormal="60" workbookViewId="0">
      <selection activeCell="D11" sqref="D11:H16"/>
    </sheetView>
  </sheetViews>
  <sheetFormatPr defaultColWidth="10.8125" defaultRowHeight="15.75"/>
  <cols>
    <col min="1" max="2" width="10.8125" style="55"/>
    <col min="3" max="3" width="3.8125" style="55" customWidth="1"/>
    <col min="4" max="8" width="15.8125" style="55" customWidth="1"/>
    <col min="9" max="9" width="3.8125" style="55" customWidth="1"/>
    <col min="10" max="11" width="5.8125" style="55" customWidth="1"/>
    <col min="12" max="12" width="3.8125" style="55" customWidth="1"/>
    <col min="13" max="17" width="15.8125" style="55" customWidth="1"/>
    <col min="18" max="18" width="3.8125" style="55" customWidth="1"/>
    <col min="19" max="16384" width="10.8125" style="55"/>
  </cols>
  <sheetData>
    <row r="3" spans="2:21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2:21" ht="16.149999999999999" thickBot="1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2:21" ht="16.149999999999999" thickTop="1">
      <c r="B5" s="24"/>
      <c r="C5" s="218" t="s">
        <v>113</v>
      </c>
      <c r="D5" s="219"/>
      <c r="E5" s="219"/>
      <c r="F5" s="219"/>
      <c r="G5" s="219"/>
      <c r="H5" s="219"/>
      <c r="I5" s="220"/>
      <c r="J5" s="24"/>
      <c r="K5" s="24"/>
      <c r="L5" s="227" t="s">
        <v>114</v>
      </c>
      <c r="M5" s="228"/>
      <c r="N5" s="228"/>
      <c r="O5" s="228"/>
      <c r="P5" s="228"/>
      <c r="Q5" s="228"/>
      <c r="R5" s="229"/>
      <c r="S5" s="24"/>
    </row>
    <row r="6" spans="2:21">
      <c r="B6" s="24"/>
      <c r="C6" s="221"/>
      <c r="D6" s="222"/>
      <c r="E6" s="222"/>
      <c r="F6" s="222"/>
      <c r="G6" s="222"/>
      <c r="H6" s="222"/>
      <c r="I6" s="223"/>
      <c r="J6" s="24"/>
      <c r="K6" s="24"/>
      <c r="L6" s="230"/>
      <c r="M6" s="231"/>
      <c r="N6" s="231"/>
      <c r="O6" s="231"/>
      <c r="P6" s="231"/>
      <c r="Q6" s="231"/>
      <c r="R6" s="232"/>
      <c r="S6" s="24"/>
    </row>
    <row r="7" spans="2:21" ht="16.149999999999999" thickBot="1">
      <c r="B7" s="24"/>
      <c r="C7" s="224"/>
      <c r="D7" s="225"/>
      <c r="E7" s="225"/>
      <c r="F7" s="225"/>
      <c r="G7" s="225"/>
      <c r="H7" s="225"/>
      <c r="I7" s="226"/>
      <c r="J7" s="24"/>
      <c r="K7" s="24"/>
      <c r="L7" s="233"/>
      <c r="M7" s="234"/>
      <c r="N7" s="234"/>
      <c r="O7" s="234"/>
      <c r="P7" s="234"/>
      <c r="Q7" s="234"/>
      <c r="R7" s="235"/>
      <c r="S7" s="24"/>
    </row>
    <row r="8" spans="2:21" ht="16.149999999999999" thickTop="1">
      <c r="B8" s="24"/>
      <c r="C8" s="64"/>
      <c r="D8" s="24"/>
      <c r="E8" s="24"/>
      <c r="F8" s="24"/>
      <c r="G8" s="24"/>
      <c r="H8" s="24"/>
      <c r="I8" s="65"/>
      <c r="J8" s="24"/>
      <c r="K8" s="24"/>
      <c r="L8" s="69"/>
      <c r="M8" s="24"/>
      <c r="N8" s="24"/>
      <c r="O8" s="24"/>
      <c r="P8" s="24"/>
      <c r="Q8" s="24"/>
      <c r="R8" s="70"/>
      <c r="S8" s="24"/>
    </row>
    <row r="9" spans="2:21">
      <c r="B9" s="24"/>
      <c r="C9" s="64"/>
      <c r="D9" s="24"/>
      <c r="E9" s="24"/>
      <c r="F9" s="24"/>
      <c r="G9" s="24"/>
      <c r="H9" s="24"/>
      <c r="I9" s="65"/>
      <c r="J9" s="24"/>
      <c r="K9" s="24"/>
      <c r="L9" s="69"/>
      <c r="M9" s="24"/>
      <c r="N9" s="24"/>
      <c r="O9" s="24"/>
      <c r="P9" s="24"/>
      <c r="Q9" s="24"/>
      <c r="R9" s="70"/>
      <c r="S9" s="24"/>
      <c r="T9" s="216" t="s">
        <v>359</v>
      </c>
      <c r="U9" s="216"/>
    </row>
    <row r="10" spans="2:21" ht="21">
      <c r="B10" s="24"/>
      <c r="C10" s="64"/>
      <c r="D10" s="74" t="s">
        <v>115</v>
      </c>
      <c r="E10" s="24"/>
      <c r="F10" s="24"/>
      <c r="G10" s="24"/>
      <c r="H10" s="24"/>
      <c r="I10" s="65"/>
      <c r="J10" s="24"/>
      <c r="K10" s="24"/>
      <c r="L10" s="69"/>
      <c r="M10" s="74" t="s">
        <v>118</v>
      </c>
      <c r="N10" s="24"/>
      <c r="O10" s="24"/>
      <c r="P10" s="24"/>
      <c r="Q10" s="24"/>
      <c r="R10" s="70"/>
      <c r="S10" s="24"/>
      <c r="T10" s="216"/>
      <c r="U10" s="216"/>
    </row>
    <row r="11" spans="2:21">
      <c r="B11" s="24"/>
      <c r="C11" s="64"/>
      <c r="D11" s="217"/>
      <c r="E11" s="217"/>
      <c r="F11" s="217"/>
      <c r="G11" s="217"/>
      <c r="H11" s="217"/>
      <c r="I11" s="65"/>
      <c r="J11" s="24"/>
      <c r="K11" s="24"/>
      <c r="L11" s="69"/>
      <c r="M11" s="236" t="str">
        <f>'Contested Cat.'!P41</f>
        <v>VIRILEX (TTK) ~6Cr ~18% growth ~5% MS</v>
      </c>
      <c r="N11" s="236"/>
      <c r="O11" s="236"/>
      <c r="P11" s="236"/>
      <c r="Q11" s="236"/>
      <c r="R11" s="70"/>
      <c r="S11" s="24"/>
      <c r="T11" s="216"/>
      <c r="U11" s="216"/>
    </row>
    <row r="12" spans="2:21">
      <c r="B12" s="24"/>
      <c r="C12" s="64"/>
      <c r="D12" s="217"/>
      <c r="E12" s="217"/>
      <c r="F12" s="217"/>
      <c r="G12" s="217"/>
      <c r="H12" s="217"/>
      <c r="I12" s="65"/>
      <c r="J12" s="24"/>
      <c r="K12" s="24"/>
      <c r="L12" s="69"/>
      <c r="M12" s="236"/>
      <c r="N12" s="236"/>
      <c r="O12" s="236"/>
      <c r="P12" s="236"/>
      <c r="Q12" s="236"/>
      <c r="R12" s="70"/>
      <c r="S12" s="24"/>
      <c r="T12" s="216"/>
      <c r="U12" s="216"/>
    </row>
    <row r="13" spans="2:21">
      <c r="B13" s="24"/>
      <c r="C13" s="64"/>
      <c r="D13" s="217"/>
      <c r="E13" s="217"/>
      <c r="F13" s="217"/>
      <c r="G13" s="217"/>
      <c r="H13" s="217"/>
      <c r="I13" s="65"/>
      <c r="J13" s="24"/>
      <c r="K13" s="24"/>
      <c r="L13" s="69"/>
      <c r="M13" s="236"/>
      <c r="N13" s="236"/>
      <c r="O13" s="236"/>
      <c r="P13" s="236"/>
      <c r="Q13" s="236"/>
      <c r="R13" s="70"/>
      <c r="S13" s="24"/>
      <c r="T13" s="216"/>
      <c r="U13" s="216"/>
    </row>
    <row r="14" spans="2:21">
      <c r="B14" s="24"/>
      <c r="C14" s="64"/>
      <c r="D14" s="217"/>
      <c r="E14" s="217"/>
      <c r="F14" s="217"/>
      <c r="G14" s="217"/>
      <c r="H14" s="217"/>
      <c r="I14" s="65"/>
      <c r="J14" s="24"/>
      <c r="K14" s="24"/>
      <c r="L14" s="69"/>
      <c r="M14" s="236"/>
      <c r="N14" s="236"/>
      <c r="O14" s="236"/>
      <c r="P14" s="236"/>
      <c r="Q14" s="236"/>
      <c r="R14" s="70"/>
      <c r="S14" s="24"/>
      <c r="T14" s="216"/>
      <c r="U14" s="216"/>
    </row>
    <row r="15" spans="2:21">
      <c r="B15" s="24"/>
      <c r="C15" s="64"/>
      <c r="D15" s="217"/>
      <c r="E15" s="217"/>
      <c r="F15" s="217"/>
      <c r="G15" s="217"/>
      <c r="H15" s="217"/>
      <c r="I15" s="65"/>
      <c r="J15" s="24"/>
      <c r="K15" s="24"/>
      <c r="L15" s="69"/>
      <c r="M15" s="236"/>
      <c r="N15" s="236"/>
      <c r="O15" s="236"/>
      <c r="P15" s="236"/>
      <c r="Q15" s="236"/>
      <c r="R15" s="70"/>
      <c r="S15" s="24"/>
      <c r="T15" s="216"/>
      <c r="U15" s="216"/>
    </row>
    <row r="16" spans="2:21">
      <c r="B16" s="24"/>
      <c r="C16" s="64"/>
      <c r="D16" s="217"/>
      <c r="E16" s="217"/>
      <c r="F16" s="217"/>
      <c r="G16" s="217"/>
      <c r="H16" s="217"/>
      <c r="I16" s="65"/>
      <c r="J16" s="24"/>
      <c r="K16" s="24"/>
      <c r="L16" s="69"/>
      <c r="M16" s="236"/>
      <c r="N16" s="236"/>
      <c r="O16" s="236"/>
      <c r="P16" s="236"/>
      <c r="Q16" s="236"/>
      <c r="R16" s="70"/>
      <c r="S16" s="24"/>
      <c r="T16" s="216"/>
      <c r="U16" s="216"/>
    </row>
    <row r="17" spans="2:21">
      <c r="B17" s="24"/>
      <c r="C17" s="64"/>
      <c r="D17" s="24"/>
      <c r="E17" s="24"/>
      <c r="F17" s="24"/>
      <c r="G17" s="24"/>
      <c r="H17" s="24"/>
      <c r="I17" s="65"/>
      <c r="J17" s="24"/>
      <c r="K17" s="24"/>
      <c r="L17" s="69"/>
      <c r="M17" s="24"/>
      <c r="N17" s="24"/>
      <c r="O17" s="24"/>
      <c r="P17" s="24"/>
      <c r="Q17" s="24"/>
      <c r="R17" s="70"/>
      <c r="S17" s="24"/>
      <c r="T17" s="216"/>
      <c r="U17" s="216"/>
    </row>
    <row r="18" spans="2:21" ht="21">
      <c r="B18" s="24"/>
      <c r="C18" s="64"/>
      <c r="D18" s="74" t="s">
        <v>116</v>
      </c>
      <c r="E18" s="24"/>
      <c r="F18" s="24"/>
      <c r="G18" s="24"/>
      <c r="H18" s="24"/>
      <c r="I18" s="65"/>
      <c r="J18" s="24"/>
      <c r="K18" s="24"/>
      <c r="L18" s="69"/>
      <c r="M18" s="75" t="s">
        <v>119</v>
      </c>
      <c r="N18" s="24"/>
      <c r="O18" s="24"/>
      <c r="P18" s="24"/>
      <c r="Q18" s="24"/>
      <c r="R18" s="70"/>
      <c r="S18" s="24"/>
      <c r="T18" s="216"/>
      <c r="U18" s="216"/>
    </row>
    <row r="19" spans="2:21">
      <c r="B19" s="24"/>
      <c r="C19" s="64"/>
      <c r="D19" s="217"/>
      <c r="E19" s="217"/>
      <c r="F19" s="217"/>
      <c r="G19" s="217"/>
      <c r="H19" s="217"/>
      <c r="I19" s="65"/>
      <c r="J19" s="24"/>
      <c r="K19" s="24"/>
      <c r="L19" s="69"/>
      <c r="M19" s="217" t="str">
        <f>IF('Brand Wheel'!F12="","",'Brand Wheel'!F12)</f>
        <v/>
      </c>
      <c r="N19" s="217"/>
      <c r="O19" s="217"/>
      <c r="P19" s="217"/>
      <c r="Q19" s="217"/>
      <c r="R19" s="70"/>
      <c r="S19" s="24"/>
      <c r="T19" s="216"/>
      <c r="U19" s="216"/>
    </row>
    <row r="20" spans="2:21">
      <c r="B20" s="24"/>
      <c r="C20" s="64"/>
      <c r="D20" s="217"/>
      <c r="E20" s="217"/>
      <c r="F20" s="217"/>
      <c r="G20" s="217"/>
      <c r="H20" s="217"/>
      <c r="I20" s="65"/>
      <c r="J20" s="24"/>
      <c r="K20" s="24"/>
      <c r="L20" s="69"/>
      <c r="M20" s="217"/>
      <c r="N20" s="217"/>
      <c r="O20" s="217"/>
      <c r="P20" s="217"/>
      <c r="Q20" s="217"/>
      <c r="R20" s="70"/>
      <c r="S20" s="24"/>
      <c r="T20" s="216"/>
      <c r="U20" s="216"/>
    </row>
    <row r="21" spans="2:21">
      <c r="B21" s="24"/>
      <c r="C21" s="64"/>
      <c r="D21" s="217"/>
      <c r="E21" s="217"/>
      <c r="F21" s="217"/>
      <c r="G21" s="217"/>
      <c r="H21" s="217"/>
      <c r="I21" s="65"/>
      <c r="J21" s="24"/>
      <c r="K21" s="24"/>
      <c r="L21" s="69"/>
      <c r="M21" s="217"/>
      <c r="N21" s="217"/>
      <c r="O21" s="217"/>
      <c r="P21" s="217"/>
      <c r="Q21" s="217"/>
      <c r="R21" s="70"/>
      <c r="S21" s="24"/>
      <c r="T21" s="216"/>
      <c r="U21" s="216"/>
    </row>
    <row r="22" spans="2:21">
      <c r="B22" s="24"/>
      <c r="C22" s="64"/>
      <c r="D22" s="217"/>
      <c r="E22" s="217"/>
      <c r="F22" s="217"/>
      <c r="G22" s="217"/>
      <c r="H22" s="217"/>
      <c r="I22" s="65"/>
      <c r="J22" s="24"/>
      <c r="K22" s="24"/>
      <c r="L22" s="69"/>
      <c r="M22" s="217"/>
      <c r="N22" s="217"/>
      <c r="O22" s="217"/>
      <c r="P22" s="217"/>
      <c r="Q22" s="217"/>
      <c r="R22" s="70"/>
      <c r="S22" s="24"/>
      <c r="T22" s="216"/>
      <c r="U22" s="216"/>
    </row>
    <row r="23" spans="2:21">
      <c r="B23" s="24"/>
      <c r="C23" s="64"/>
      <c r="D23" s="217"/>
      <c r="E23" s="217"/>
      <c r="F23" s="217"/>
      <c r="G23" s="217"/>
      <c r="H23" s="217"/>
      <c r="I23" s="65"/>
      <c r="J23" s="24"/>
      <c r="K23" s="24"/>
      <c r="L23" s="69"/>
      <c r="M23" s="217"/>
      <c r="N23" s="217"/>
      <c r="O23" s="217"/>
      <c r="P23" s="217"/>
      <c r="Q23" s="217"/>
      <c r="R23" s="70"/>
      <c r="S23" s="24"/>
      <c r="T23" s="216"/>
      <c r="U23" s="216"/>
    </row>
    <row r="24" spans="2:21">
      <c r="B24" s="24"/>
      <c r="C24" s="64"/>
      <c r="D24" s="217"/>
      <c r="E24" s="217"/>
      <c r="F24" s="217"/>
      <c r="G24" s="217"/>
      <c r="H24" s="217"/>
      <c r="I24" s="65"/>
      <c r="J24" s="24"/>
      <c r="K24" s="24"/>
      <c r="L24" s="69"/>
      <c r="M24" s="217"/>
      <c r="N24" s="217"/>
      <c r="O24" s="217"/>
      <c r="P24" s="217"/>
      <c r="Q24" s="217"/>
      <c r="R24" s="70"/>
      <c r="S24" s="24"/>
      <c r="T24" s="216"/>
      <c r="U24" s="216"/>
    </row>
    <row r="25" spans="2:21" ht="21">
      <c r="B25" s="24"/>
      <c r="C25" s="64"/>
      <c r="D25" s="75"/>
      <c r="E25" s="24"/>
      <c r="F25" s="24"/>
      <c r="G25" s="24"/>
      <c r="H25" s="24"/>
      <c r="I25" s="65"/>
      <c r="J25" s="24"/>
      <c r="K25" s="24"/>
      <c r="L25" s="69"/>
      <c r="M25" s="24"/>
      <c r="N25" s="24"/>
      <c r="O25" s="24"/>
      <c r="P25" s="24"/>
      <c r="Q25" s="24"/>
      <c r="R25" s="70"/>
      <c r="S25" s="24"/>
      <c r="T25" s="216"/>
      <c r="U25" s="216"/>
    </row>
    <row r="26" spans="2:21" ht="21">
      <c r="B26" s="24"/>
      <c r="C26" s="64"/>
      <c r="D26" s="74" t="s">
        <v>117</v>
      </c>
      <c r="E26" s="24"/>
      <c r="F26" s="24"/>
      <c r="G26" s="24"/>
      <c r="H26" s="24"/>
      <c r="I26" s="65"/>
      <c r="J26" s="24"/>
      <c r="K26" s="24"/>
      <c r="L26" s="69"/>
      <c r="M26" s="74" t="s">
        <v>117</v>
      </c>
      <c r="N26" s="24"/>
      <c r="O26" s="24"/>
      <c r="P26" s="24"/>
      <c r="Q26" s="24"/>
      <c r="R26" s="70"/>
      <c r="S26" s="24"/>
    </row>
    <row r="27" spans="2:21">
      <c r="B27" s="24"/>
      <c r="C27" s="64"/>
      <c r="D27" s="217" t="s">
        <v>360</v>
      </c>
      <c r="E27" s="217"/>
      <c r="F27" s="217"/>
      <c r="G27" s="217"/>
      <c r="H27" s="217"/>
      <c r="I27" s="65"/>
      <c r="J27" s="24"/>
      <c r="K27" s="24"/>
      <c r="L27" s="69"/>
      <c r="M27" s="217" t="s">
        <v>360</v>
      </c>
      <c r="N27" s="217"/>
      <c r="O27" s="217"/>
      <c r="P27" s="217"/>
      <c r="Q27" s="217"/>
      <c r="R27" s="70"/>
      <c r="S27" s="24"/>
    </row>
    <row r="28" spans="2:21">
      <c r="B28" s="24"/>
      <c r="C28" s="64"/>
      <c r="D28" s="217"/>
      <c r="E28" s="217"/>
      <c r="F28" s="217"/>
      <c r="G28" s="217"/>
      <c r="H28" s="217"/>
      <c r="I28" s="65"/>
      <c r="J28" s="24"/>
      <c r="K28" s="24"/>
      <c r="L28" s="69"/>
      <c r="M28" s="217"/>
      <c r="N28" s="217"/>
      <c r="O28" s="217"/>
      <c r="P28" s="217"/>
      <c r="Q28" s="217"/>
      <c r="R28" s="70"/>
      <c r="S28" s="24"/>
    </row>
    <row r="29" spans="2:21">
      <c r="B29" s="24"/>
      <c r="C29" s="64"/>
      <c r="D29" s="217"/>
      <c r="E29" s="217"/>
      <c r="F29" s="217"/>
      <c r="G29" s="217"/>
      <c r="H29" s="217"/>
      <c r="I29" s="65"/>
      <c r="J29" s="24"/>
      <c r="K29" s="24"/>
      <c r="L29" s="69"/>
      <c r="M29" s="217"/>
      <c r="N29" s="217"/>
      <c r="O29" s="217"/>
      <c r="P29" s="217"/>
      <c r="Q29" s="217"/>
      <c r="R29" s="70"/>
      <c r="S29" s="24"/>
      <c r="T29" s="110" t="s">
        <v>361</v>
      </c>
    </row>
    <row r="30" spans="2:21">
      <c r="B30" s="24"/>
      <c r="C30" s="64"/>
      <c r="D30" s="217"/>
      <c r="E30" s="217"/>
      <c r="F30" s="217"/>
      <c r="G30" s="217"/>
      <c r="H30" s="217"/>
      <c r="I30" s="65"/>
      <c r="J30" s="24"/>
      <c r="K30" s="24"/>
      <c r="L30" s="69"/>
      <c r="M30" s="217"/>
      <c r="N30" s="217"/>
      <c r="O30" s="217"/>
      <c r="P30" s="217"/>
      <c r="Q30" s="217"/>
      <c r="R30" s="70"/>
      <c r="S30" s="24"/>
    </row>
    <row r="31" spans="2:21">
      <c r="B31" s="24"/>
      <c r="C31" s="64"/>
      <c r="D31" s="217"/>
      <c r="E31" s="217"/>
      <c r="F31" s="217"/>
      <c r="G31" s="217"/>
      <c r="H31" s="217"/>
      <c r="I31" s="65"/>
      <c r="J31" s="24"/>
      <c r="K31" s="24"/>
      <c r="L31" s="69"/>
      <c r="M31" s="217"/>
      <c r="N31" s="217"/>
      <c r="O31" s="217"/>
      <c r="P31" s="217"/>
      <c r="Q31" s="217"/>
      <c r="R31" s="70"/>
      <c r="S31" s="24"/>
    </row>
    <row r="32" spans="2:21">
      <c r="B32" s="24"/>
      <c r="C32" s="64"/>
      <c r="D32" s="217"/>
      <c r="E32" s="217"/>
      <c r="F32" s="217"/>
      <c r="G32" s="217"/>
      <c r="H32" s="217"/>
      <c r="I32" s="65"/>
      <c r="J32" s="24"/>
      <c r="K32" s="24"/>
      <c r="L32" s="69"/>
      <c r="M32" s="217"/>
      <c r="N32" s="217"/>
      <c r="O32" s="217"/>
      <c r="P32" s="217"/>
      <c r="Q32" s="217"/>
      <c r="R32" s="70"/>
      <c r="S32" s="24"/>
    </row>
    <row r="33" spans="2:19">
      <c r="B33" s="24"/>
      <c r="C33" s="64"/>
      <c r="D33" s="24"/>
      <c r="E33" s="24"/>
      <c r="F33" s="24"/>
      <c r="G33" s="24"/>
      <c r="H33" s="24"/>
      <c r="I33" s="65"/>
      <c r="J33" s="24"/>
      <c r="K33" s="24"/>
      <c r="L33" s="69"/>
      <c r="M33" s="24"/>
      <c r="N33" s="24"/>
      <c r="O33" s="24"/>
      <c r="P33" s="24"/>
      <c r="Q33" s="24"/>
      <c r="R33" s="70"/>
      <c r="S33" s="24"/>
    </row>
    <row r="34" spans="2:19">
      <c r="B34" s="24"/>
      <c r="C34" s="64"/>
      <c r="D34" s="24"/>
      <c r="E34" s="24"/>
      <c r="F34" s="24"/>
      <c r="G34" s="24"/>
      <c r="H34" s="24"/>
      <c r="I34" s="65"/>
      <c r="J34" s="24"/>
      <c r="K34" s="24"/>
      <c r="L34" s="69"/>
      <c r="M34" s="24"/>
      <c r="N34" s="24"/>
      <c r="O34" s="24"/>
      <c r="P34" s="24"/>
      <c r="Q34" s="24"/>
      <c r="R34" s="70"/>
      <c r="S34" s="24"/>
    </row>
    <row r="35" spans="2:19" ht="16.149999999999999" thickBot="1">
      <c r="B35" s="24"/>
      <c r="C35" s="66"/>
      <c r="D35" s="67"/>
      <c r="E35" s="67"/>
      <c r="F35" s="67"/>
      <c r="G35" s="67"/>
      <c r="H35" s="67"/>
      <c r="I35" s="68"/>
      <c r="J35" s="24"/>
      <c r="K35" s="24"/>
      <c r="L35" s="71"/>
      <c r="M35" s="73"/>
      <c r="N35" s="73"/>
      <c r="O35" s="73"/>
      <c r="P35" s="73"/>
      <c r="Q35" s="73"/>
      <c r="R35" s="72"/>
      <c r="S35" s="24"/>
    </row>
    <row r="36" spans="2:19" ht="16.149999999999999" thickTop="1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spans="2:19">
      <c r="B37" s="24"/>
      <c r="C37" s="24"/>
      <c r="D37" s="76" t="s">
        <v>120</v>
      </c>
      <c r="E37" s="24"/>
      <c r="F37" s="24"/>
      <c r="G37" s="24"/>
      <c r="H37" s="24"/>
      <c r="I37" s="24"/>
      <c r="J37" s="24"/>
      <c r="K37" s="24"/>
      <c r="L37" s="24"/>
      <c r="M37" s="76" t="s">
        <v>124</v>
      </c>
      <c r="N37" s="24"/>
      <c r="O37" s="24"/>
      <c r="P37" s="24"/>
      <c r="Q37" s="24"/>
      <c r="R37" s="24"/>
      <c r="S37" s="24"/>
    </row>
    <row r="38" spans="2:19">
      <c r="B38" s="24"/>
      <c r="C38" s="24"/>
      <c r="D38" s="76" t="s">
        <v>121</v>
      </c>
      <c r="E38" s="24"/>
      <c r="F38" s="24"/>
      <c r="G38" s="24"/>
      <c r="H38" s="24"/>
      <c r="I38" s="24"/>
      <c r="J38" s="24"/>
      <c r="K38" s="24"/>
      <c r="L38" s="24"/>
      <c r="M38" s="76" t="s">
        <v>125</v>
      </c>
      <c r="N38" s="24"/>
      <c r="O38" s="24"/>
      <c r="P38" s="24"/>
      <c r="Q38" s="24"/>
      <c r="R38" s="24"/>
      <c r="S38" s="24"/>
    </row>
    <row r="39" spans="2:19">
      <c r="B39" s="24"/>
      <c r="C39" s="24"/>
      <c r="D39" s="76" t="s">
        <v>122</v>
      </c>
      <c r="E39" s="24"/>
      <c r="F39" s="24"/>
      <c r="G39" s="24"/>
      <c r="H39" s="24"/>
      <c r="I39" s="24"/>
      <c r="J39" s="24"/>
      <c r="K39" s="24"/>
      <c r="L39" s="24"/>
      <c r="M39" s="76" t="s">
        <v>126</v>
      </c>
      <c r="N39" s="24"/>
      <c r="O39" s="24"/>
      <c r="P39" s="24"/>
      <c r="Q39" s="24"/>
      <c r="R39" s="24"/>
      <c r="S39" s="24"/>
    </row>
    <row r="40" spans="2:19">
      <c r="B40" s="24"/>
      <c r="C40" s="24"/>
      <c r="D40" s="77" t="s">
        <v>123</v>
      </c>
      <c r="E40" s="24"/>
      <c r="F40" s="24"/>
      <c r="G40" s="24"/>
      <c r="H40" s="24"/>
      <c r="I40" s="24"/>
      <c r="J40" s="24"/>
      <c r="K40" s="24"/>
      <c r="L40" s="24"/>
      <c r="M40" s="76" t="s">
        <v>127</v>
      </c>
      <c r="N40" s="24"/>
      <c r="O40" s="24"/>
      <c r="P40" s="24"/>
      <c r="Q40" s="24"/>
      <c r="R40" s="24"/>
      <c r="S40" s="24"/>
    </row>
    <row r="41" spans="2:19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</row>
  </sheetData>
  <mergeCells count="9">
    <mergeCell ref="T9:U25"/>
    <mergeCell ref="M19:Q24"/>
    <mergeCell ref="M27:Q32"/>
    <mergeCell ref="C5:I7"/>
    <mergeCell ref="L5:R7"/>
    <mergeCell ref="D11:H16"/>
    <mergeCell ref="D19:H24"/>
    <mergeCell ref="D27:H32"/>
    <mergeCell ref="M11:Q16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2021-7999-C440-83F6-7E6DCB260359}">
  <dimension ref="A1:T80"/>
  <sheetViews>
    <sheetView topLeftCell="F1" zoomScale="90" zoomScaleNormal="100" workbookViewId="0">
      <selection activeCell="U27" sqref="U27"/>
    </sheetView>
  </sheetViews>
  <sheetFormatPr defaultColWidth="11" defaultRowHeight="15.75"/>
  <cols>
    <col min="1" max="1" width="4" customWidth="1"/>
    <col min="2" max="2" width="36" bestFit="1" customWidth="1"/>
    <col min="3" max="3" width="17.1875" bestFit="1" customWidth="1"/>
    <col min="4" max="5" width="28.1875" bestFit="1" customWidth="1"/>
    <col min="6" max="9" width="22.5" bestFit="1" customWidth="1"/>
    <col min="10" max="10" width="19.6875" bestFit="1" customWidth="1"/>
    <col min="13" max="13" width="5.6875" customWidth="1"/>
  </cols>
  <sheetData>
    <row r="1" spans="1:20">
      <c r="B1" t="s">
        <v>344</v>
      </c>
      <c r="C1">
        <v>10</v>
      </c>
      <c r="F1" s="79"/>
      <c r="G1" s="79"/>
      <c r="H1" s="79"/>
      <c r="I1" s="79"/>
      <c r="J1" s="79"/>
      <c r="K1" s="79"/>
    </row>
    <row r="2" spans="1:20">
      <c r="B2" s="84" t="s">
        <v>372</v>
      </c>
      <c r="F2" s="79"/>
      <c r="G2" s="79"/>
      <c r="H2" s="79"/>
      <c r="I2" s="79"/>
      <c r="J2" s="79"/>
      <c r="K2" s="79"/>
    </row>
    <row r="5" spans="1:20">
      <c r="A5" s="333" t="s">
        <v>356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</row>
    <row r="6" spans="1:20">
      <c r="B6" t="str">
        <f>'Product Orientation'!B3</f>
        <v>VIRILEX</v>
      </c>
      <c r="C6" t="str">
        <f>_xlfn.XLOOKUP($B$6,'AWACS input'!$C$9:$C$66,'AWACS input'!D9:D66)</f>
        <v>TTK HEALTHCARE LTD</v>
      </c>
      <c r="D6" t="str">
        <f>_xlfn.XLOOKUP($B$6,'AWACS input'!$C$9:$C$66,'AWACS input'!E9:E66)</f>
        <v>VIRILEX TABLET 20</v>
      </c>
      <c r="E6" s="79">
        <f>_xlfn.XLOOKUP($B$6,'AWACS input'!$C$9:$C$66,'AWACS input'!F9:F66)</f>
        <v>375</v>
      </c>
      <c r="F6" s="79">
        <f>_xlfn.XLOOKUP($B$6,'AWACS input'!$C$9:$C$66,'AWACS input'!G9:G66)</f>
        <v>5.6440445280000002</v>
      </c>
      <c r="G6" s="79">
        <f>_xlfn.XLOOKUP($B$6,'AWACS input'!$C$9:$C$66,'AWACS input'!H9:H66)</f>
        <v>5.5517662799999998</v>
      </c>
      <c r="H6" s="79">
        <f>_xlfn.XLOOKUP($B$6,'AWACS input'!$C$9:$C$66,'AWACS input'!I9:I66)</f>
        <v>5.3500678949999996</v>
      </c>
      <c r="I6" s="79">
        <f>_xlfn.XLOOKUP($B$6,'AWACS input'!$C$9:$C$66,'AWACS input'!J9:J66)</f>
        <v>5.3306099099999997</v>
      </c>
      <c r="J6" s="79">
        <f>_xlfn.XLOOKUP($B$6,'AWACS input'!$C$9:$C$66,'AWACS input'!K9:K66)</f>
        <v>6.2840625000000001</v>
      </c>
      <c r="K6" s="83">
        <f>IF(J6="","",J6/$J$19)</f>
        <v>4.5110488874489915E-2</v>
      </c>
    </row>
    <row r="7" spans="1:20" s="81" customFormat="1">
      <c r="B7" s="80" t="str" cm="1">
        <f t="array" ref="B7:J17">_xlfn._xlws.SORT(_xlfn._xlws.FILTER('AWACS input'!$C$8:$K$500,'AWACS input'!$K$8:$K$500&gt;=LARGE('AWACS input'!$K$8:$K$500,'Top Brand'!$C$1)),9,-1)</f>
        <v>BRAND</v>
      </c>
      <c r="C7" s="80" t="str">
        <v>COMPANY</v>
      </c>
      <c r="D7" s="80" t="str">
        <v>SKU</v>
      </c>
      <c r="E7" s="80" t="str">
        <v>PTR</v>
      </c>
      <c r="F7" s="80" t="str">
        <v>Sum of MAT VAL DEC 17</v>
      </c>
      <c r="G7" s="80" t="str">
        <v>Sum of MAT VAL DEC 18</v>
      </c>
      <c r="H7" s="80" t="str">
        <v>Sum of MAT VAL DEC 19</v>
      </c>
      <c r="I7" s="80" t="str">
        <v>Sum of MAT VAL DEC 20</v>
      </c>
      <c r="J7" s="80" t="str">
        <v>Sum of MAT VAL DEC 21</v>
      </c>
      <c r="K7" s="82" t="s">
        <v>107</v>
      </c>
      <c r="O7" s="81" t="s">
        <v>345</v>
      </c>
      <c r="P7" s="81" t="str">
        <f>RIGHT(F7,6)</f>
        <v>DEC 17</v>
      </c>
      <c r="Q7" s="81" t="str">
        <f>RIGHT(G7,6)</f>
        <v>DEC 18</v>
      </c>
      <c r="R7" s="81" t="str">
        <f>RIGHT(H7,6)</f>
        <v>DEC 19</v>
      </c>
      <c r="S7" s="81" t="str">
        <f>RIGHT(I7,6)</f>
        <v>DEC 20</v>
      </c>
      <c r="T7" s="81" t="str">
        <f>RIGHT(J7,6)</f>
        <v>DEC 21</v>
      </c>
    </row>
    <row r="8" spans="1:20">
      <c r="A8" cm="1">
        <f t="array" ref="A8:A17">_xlfn.SEQUENCE(C1)</f>
        <v>1</v>
      </c>
      <c r="B8" t="str">
        <v>TENTEX FORTE</v>
      </c>
      <c r="C8" t="str">
        <v>HIMALAYA DRUG COMPANY</v>
      </c>
      <c r="D8" t="str">
        <v>TENTEX FORTE TABLET 10</v>
      </c>
      <c r="E8" s="79">
        <v>55</v>
      </c>
      <c r="F8" s="79">
        <v>15.467838215</v>
      </c>
      <c r="G8" s="79">
        <v>19.924983355999998</v>
      </c>
      <c r="H8" s="79">
        <v>21.996632512000001</v>
      </c>
      <c r="I8" s="79">
        <v>23.650365522000001</v>
      </c>
      <c r="J8" s="79">
        <v>25.389485348000001</v>
      </c>
      <c r="K8" s="83">
        <f t="shared" ref="K8:K17" si="0">IF(J8="","",J8/$J$19)</f>
        <v>0.18225981939549118</v>
      </c>
      <c r="O8" t="str">
        <f>B8</f>
        <v>TENTEX FORTE</v>
      </c>
      <c r="P8" s="79">
        <f>F8</f>
        <v>15.467838215</v>
      </c>
      <c r="Q8" s="79">
        <f t="shared" ref="Q8:T12" si="1">G8</f>
        <v>19.924983355999998</v>
      </c>
      <c r="R8" s="79">
        <f t="shared" si="1"/>
        <v>21.996632512000001</v>
      </c>
      <c r="S8" s="79">
        <f t="shared" si="1"/>
        <v>23.650365522000001</v>
      </c>
      <c r="T8" s="79">
        <f t="shared" si="1"/>
        <v>25.389485348000001</v>
      </c>
    </row>
    <row r="9" spans="1:20">
      <c r="A9">
        <v>2</v>
      </c>
      <c r="B9" t="str">
        <v>CONFIDO</v>
      </c>
      <c r="C9" t="str">
        <v>HIMALAYA DRUG COMPANY</v>
      </c>
      <c r="D9" t="str">
        <v>CONFIDO TABLET 60</v>
      </c>
      <c r="E9" s="79">
        <v>96.24</v>
      </c>
      <c r="F9" s="79">
        <v>15.637279852000001</v>
      </c>
      <c r="G9" s="79">
        <v>18.031377264</v>
      </c>
      <c r="H9" s="79">
        <v>18.098489808</v>
      </c>
      <c r="I9" s="79">
        <v>20.386764641999999</v>
      </c>
      <c r="J9" s="79">
        <v>21.176620346</v>
      </c>
      <c r="K9" s="83">
        <f t="shared" si="0"/>
        <v>0.15201753587230071</v>
      </c>
      <c r="O9" t="str">
        <f>B9</f>
        <v>CONFIDO</v>
      </c>
      <c r="P9" s="79">
        <f>F9</f>
        <v>15.637279852000001</v>
      </c>
      <c r="Q9" s="79">
        <f t="shared" si="1"/>
        <v>18.031377264</v>
      </c>
      <c r="R9" s="79">
        <f t="shared" si="1"/>
        <v>18.098489808</v>
      </c>
      <c r="S9" s="79">
        <f t="shared" si="1"/>
        <v>20.386764641999999</v>
      </c>
      <c r="T9" s="79">
        <f t="shared" si="1"/>
        <v>21.176620346</v>
      </c>
    </row>
    <row r="10" spans="1:20">
      <c r="A10">
        <v>3</v>
      </c>
      <c r="B10" t="str">
        <v>ADDYZOA</v>
      </c>
      <c r="C10" t="str">
        <v>CHARAK PHARMA PVT LTD</v>
      </c>
      <c r="D10" t="str">
        <v>ADDYZOA CAPSULE 20</v>
      </c>
      <c r="E10" s="79">
        <v>132.13</v>
      </c>
      <c r="F10" s="79">
        <v>10.837601848</v>
      </c>
      <c r="G10" s="79">
        <v>11.94643892</v>
      </c>
      <c r="H10" s="79">
        <v>11.564506982999999</v>
      </c>
      <c r="I10" s="79">
        <v>12.296884581</v>
      </c>
      <c r="J10" s="79">
        <v>13.049718232</v>
      </c>
      <c r="K10" s="83">
        <f t="shared" si="0"/>
        <v>9.3678121298103614E-2</v>
      </c>
      <c r="O10" t="str">
        <f>B10</f>
        <v>ADDYZOA</v>
      </c>
      <c r="P10" s="79">
        <f>F10</f>
        <v>10.837601848</v>
      </c>
      <c r="Q10" s="79">
        <f t="shared" si="1"/>
        <v>11.94643892</v>
      </c>
      <c r="R10" s="79">
        <f t="shared" si="1"/>
        <v>11.564506982999999</v>
      </c>
      <c r="S10" s="79">
        <f t="shared" si="1"/>
        <v>12.296884581</v>
      </c>
      <c r="T10" s="79">
        <f t="shared" si="1"/>
        <v>13.049718232</v>
      </c>
    </row>
    <row r="11" spans="1:20">
      <c r="A11">
        <v>4</v>
      </c>
      <c r="B11" t="str">
        <v>HIMCOLIN</v>
      </c>
      <c r="C11" t="str">
        <v>HIMALAYA DRUG COMPANY</v>
      </c>
      <c r="D11" t="str">
        <v>HIMCOLIN GEL 30 GM</v>
      </c>
      <c r="E11" s="79">
        <v>120.31</v>
      </c>
      <c r="F11" s="79">
        <v>6.3444093759999998</v>
      </c>
      <c r="G11" s="79">
        <v>10.231341768</v>
      </c>
      <c r="H11" s="79">
        <v>12.178191024</v>
      </c>
      <c r="I11" s="79">
        <v>10.320914999999999</v>
      </c>
      <c r="J11" s="79">
        <v>9.6567242409999992</v>
      </c>
      <c r="K11" s="83">
        <f t="shared" si="0"/>
        <v>6.9321326997885138E-2</v>
      </c>
      <c r="O11" t="str">
        <f>B11</f>
        <v>HIMCOLIN</v>
      </c>
      <c r="P11" s="79">
        <f>F11</f>
        <v>6.3444093759999998</v>
      </c>
      <c r="Q11" s="79">
        <f t="shared" si="1"/>
        <v>10.231341768</v>
      </c>
      <c r="R11" s="79">
        <f t="shared" si="1"/>
        <v>12.178191024</v>
      </c>
      <c r="S11" s="79">
        <f t="shared" si="1"/>
        <v>10.320914999999999</v>
      </c>
      <c r="T11" s="79">
        <f t="shared" si="1"/>
        <v>9.6567242409999992</v>
      </c>
    </row>
    <row r="12" spans="1:20">
      <c r="A12">
        <v>5</v>
      </c>
      <c r="B12" t="str">
        <v>SIOTONE</v>
      </c>
      <c r="C12" t="str">
        <v>ALBERT DAVID</v>
      </c>
      <c r="D12" t="str">
        <v>SIOTONE CAPSULE 10</v>
      </c>
      <c r="E12" s="79">
        <v>117.14</v>
      </c>
      <c r="F12" s="79">
        <v>8.9375234159999994</v>
      </c>
      <c r="G12" s="79">
        <v>8.3246400000000005</v>
      </c>
      <c r="H12" s="79">
        <v>8.2361710000000006</v>
      </c>
      <c r="I12" s="79">
        <v>6.394069</v>
      </c>
      <c r="J12" s="79">
        <v>7.7516611659999999</v>
      </c>
      <c r="K12" s="83">
        <f t="shared" si="0"/>
        <v>5.5645726755209471E-2</v>
      </c>
      <c r="O12" t="str">
        <f>B12</f>
        <v>SIOTONE</v>
      </c>
      <c r="P12" s="79">
        <f>F12</f>
        <v>8.9375234159999994</v>
      </c>
      <c r="Q12" s="79">
        <f t="shared" si="1"/>
        <v>8.3246400000000005</v>
      </c>
      <c r="R12" s="79">
        <f t="shared" si="1"/>
        <v>8.2361710000000006</v>
      </c>
      <c r="S12" s="79">
        <f t="shared" si="1"/>
        <v>6.394069</v>
      </c>
      <c r="T12" s="79">
        <f t="shared" si="1"/>
        <v>7.7516611659999999</v>
      </c>
    </row>
    <row r="13" spans="1:20">
      <c r="A13">
        <v>6</v>
      </c>
      <c r="B13" t="str">
        <v>ENDOBLOC T</v>
      </c>
      <c r="C13" t="str">
        <v>CIPLA LTD.</v>
      </c>
      <c r="D13" t="str">
        <v>ENDOBLOC T KIT TABLET 10</v>
      </c>
      <c r="E13" s="79">
        <v>1359.6</v>
      </c>
      <c r="F13" s="79">
        <v>1.7859071419999999</v>
      </c>
      <c r="G13" s="79">
        <v>3.8063684919999998</v>
      </c>
      <c r="H13" s="79">
        <v>4.7201855579999998</v>
      </c>
      <c r="I13" s="79">
        <v>6.33752724</v>
      </c>
      <c r="J13" s="79">
        <v>7.3298755199999999</v>
      </c>
      <c r="K13" s="83">
        <f t="shared" si="0"/>
        <v>5.2617915257264863E-2</v>
      </c>
    </row>
    <row r="14" spans="1:20">
      <c r="A14">
        <v>7</v>
      </c>
      <c r="B14" t="str">
        <v>SPEMAN</v>
      </c>
      <c r="C14" t="str">
        <v>HIMALAYA DRUG COMPANY</v>
      </c>
      <c r="D14" t="str">
        <v>SPEMAN TABLET 60</v>
      </c>
      <c r="E14" s="79">
        <v>99.69</v>
      </c>
      <c r="F14" s="79">
        <v>8.9340505960000005</v>
      </c>
      <c r="G14" s="79">
        <v>8.9604239999999997</v>
      </c>
      <c r="H14" s="79">
        <v>8.5660265730000003</v>
      </c>
      <c r="I14" s="79">
        <v>8.0282691820000007</v>
      </c>
      <c r="J14" s="79">
        <v>7.1490788070000004</v>
      </c>
      <c r="K14" s="83">
        <f t="shared" si="0"/>
        <v>5.1320056092062284E-2</v>
      </c>
    </row>
    <row r="15" spans="1:20">
      <c r="A15">
        <v>8</v>
      </c>
      <c r="B15" t="str">
        <v>NANO LEO</v>
      </c>
      <c r="C15" t="str">
        <v>SANZYME LTD</v>
      </c>
      <c r="D15" t="str">
        <v>NANO LEO CAPSULE 15</v>
      </c>
      <c r="E15" s="79">
        <v>508.47</v>
      </c>
      <c r="F15" s="79">
        <v>5.1178064430000001</v>
      </c>
      <c r="G15" s="79">
        <v>5.903437416</v>
      </c>
      <c r="H15" s="79">
        <v>6.2090489959999999</v>
      </c>
      <c r="I15" s="79">
        <v>4.4764274400000001</v>
      </c>
      <c r="J15" s="79">
        <v>7.0084846389999997</v>
      </c>
      <c r="K15" s="83">
        <f t="shared" si="0"/>
        <v>5.0310793111087444E-2</v>
      </c>
    </row>
    <row r="16" spans="1:20">
      <c r="A16">
        <v>9</v>
      </c>
      <c r="B16" t="str">
        <v>VIRILEX</v>
      </c>
      <c r="C16" t="str">
        <v>TTK HEALTHCARE LTD</v>
      </c>
      <c r="D16" t="str">
        <v>VIRILEX TABLET 20</v>
      </c>
      <c r="E16" s="79">
        <v>375</v>
      </c>
      <c r="F16" s="79">
        <v>5.6440445280000002</v>
      </c>
      <c r="G16" s="79">
        <v>5.5517662799999998</v>
      </c>
      <c r="H16" s="79">
        <v>5.3500678949999996</v>
      </c>
      <c r="I16" s="79">
        <v>5.3306099099999997</v>
      </c>
      <c r="J16" s="79">
        <v>6.2840625000000001</v>
      </c>
      <c r="K16" s="83">
        <f t="shared" si="0"/>
        <v>4.5110488874489915E-2</v>
      </c>
      <c r="O16" t="s">
        <v>345</v>
      </c>
      <c r="P16" s="79">
        <f>F6</f>
        <v>5.6440445280000002</v>
      </c>
      <c r="Q16" s="79">
        <f t="shared" ref="Q16:T16" si="2">G6</f>
        <v>5.5517662799999998</v>
      </c>
      <c r="R16" s="79">
        <f t="shared" si="2"/>
        <v>5.3500678949999996</v>
      </c>
      <c r="S16" s="79">
        <f t="shared" si="2"/>
        <v>5.3306099099999997</v>
      </c>
      <c r="T16" s="79">
        <f t="shared" si="2"/>
        <v>6.2840625000000001</v>
      </c>
    </row>
    <row r="17" spans="1:20">
      <c r="A17">
        <v>10</v>
      </c>
      <c r="B17" t="str">
        <v>ERACT X</v>
      </c>
      <c r="C17" t="str">
        <v>ZYDUS CADILA - ZHL</v>
      </c>
      <c r="D17" t="str">
        <v>ERACT X SACHET 10 GM</v>
      </c>
      <c r="E17" s="79">
        <v>62.24</v>
      </c>
      <c r="F17" s="79">
        <v>0</v>
      </c>
      <c r="G17" s="79">
        <v>1.5142288699999999</v>
      </c>
      <c r="H17" s="79">
        <v>5.6595107799999997</v>
      </c>
      <c r="I17" s="79">
        <v>5.6511347199999999</v>
      </c>
      <c r="J17" s="79">
        <v>6.0488706429999999</v>
      </c>
      <c r="K17" s="83">
        <f t="shared" si="0"/>
        <v>4.3422151171201774E-2</v>
      </c>
      <c r="O17" t="str">
        <f>A19</f>
        <v>T</v>
      </c>
      <c r="P17" s="79">
        <f>F19</f>
        <v>116.50500751200001</v>
      </c>
      <c r="Q17" s="79">
        <f>G19</f>
        <v>128.72313977299999</v>
      </c>
      <c r="R17" s="79">
        <f>H19</f>
        <v>136.042184464</v>
      </c>
      <c r="S17" s="79">
        <f>I19</f>
        <v>129.27016068399996</v>
      </c>
      <c r="T17" s="79">
        <f>J19</f>
        <v>139.30379955499998</v>
      </c>
    </row>
    <row r="18" spans="1:20">
      <c r="E18" s="79"/>
      <c r="F18" s="79"/>
      <c r="G18" s="79"/>
      <c r="H18" s="79"/>
      <c r="I18" s="79"/>
      <c r="J18" s="79"/>
      <c r="K18" s="83"/>
    </row>
    <row r="19" spans="1:20">
      <c r="A19" s="107" t="s">
        <v>355</v>
      </c>
      <c r="E19" s="79"/>
      <c r="F19" s="79">
        <f>_xlfn.XLOOKUP(F7,'AWACS input'!$8:$8,'AWACS input'!$7:$7)</f>
        <v>116.50500751200001</v>
      </c>
      <c r="G19" s="79">
        <f>_xlfn.XLOOKUP(G7,'AWACS input'!$8:$8,'AWACS input'!$7:$7)</f>
        <v>128.72313977299999</v>
      </c>
      <c r="H19" s="79">
        <f>_xlfn.XLOOKUP(H7,'AWACS input'!$8:$8,'AWACS input'!$7:$7)</f>
        <v>136.042184464</v>
      </c>
      <c r="I19" s="79">
        <f>_xlfn.XLOOKUP(I7,'AWACS input'!$8:$8,'AWACS input'!$7:$7)</f>
        <v>129.27016068399996</v>
      </c>
      <c r="J19" s="79">
        <f>_xlfn.XLOOKUP(J7,'AWACS input'!$8:$8,'AWACS input'!$7:$7)</f>
        <v>139.30379955499998</v>
      </c>
      <c r="K19" s="83"/>
    </row>
    <row r="20" spans="1:20">
      <c r="E20" s="79"/>
      <c r="F20" s="79"/>
      <c r="G20" s="79"/>
      <c r="H20" s="79"/>
      <c r="I20" s="79"/>
      <c r="J20" s="79"/>
      <c r="K20" s="83"/>
    </row>
    <row r="21" spans="1:20">
      <c r="E21" s="79"/>
      <c r="F21" s="79"/>
      <c r="G21" s="79"/>
      <c r="H21" s="79"/>
      <c r="I21" s="79"/>
      <c r="J21" s="79"/>
      <c r="K21" s="83"/>
    </row>
    <row r="22" spans="1:20">
      <c r="E22" s="79"/>
      <c r="F22" s="79"/>
      <c r="G22" s="79"/>
      <c r="H22" s="79"/>
      <c r="I22" s="79"/>
      <c r="J22" s="79"/>
      <c r="K22" s="83"/>
    </row>
    <row r="23" spans="1:20">
      <c r="A23" s="333" t="s">
        <v>357</v>
      </c>
      <c r="B23" s="333"/>
      <c r="C23" s="333"/>
      <c r="D23" s="333"/>
      <c r="E23" s="333"/>
      <c r="F23" s="333"/>
      <c r="G23" s="333"/>
      <c r="H23" s="333"/>
      <c r="I23" s="333"/>
      <c r="J23" s="333"/>
      <c r="K23" s="333"/>
    </row>
    <row r="24" spans="1:20">
      <c r="B24" t="str">
        <f>B6</f>
        <v>VIRILEX</v>
      </c>
      <c r="E24" s="79"/>
      <c r="F24" s="79"/>
      <c r="G24" s="79"/>
      <c r="H24" s="79"/>
      <c r="I24" s="79"/>
      <c r="J24" s="79"/>
      <c r="K24" s="83"/>
      <c r="O24" s="81" t="s">
        <v>345</v>
      </c>
      <c r="Q24" t="str">
        <f t="shared" ref="Q24:T24" si="3">Q7</f>
        <v>DEC 18</v>
      </c>
      <c r="R24" t="str">
        <f t="shared" si="3"/>
        <v>DEC 19</v>
      </c>
      <c r="S24" t="str">
        <f t="shared" si="3"/>
        <v>DEC 20</v>
      </c>
      <c r="T24" t="str">
        <f t="shared" si="3"/>
        <v>DEC 21</v>
      </c>
    </row>
    <row r="25" spans="1:20">
      <c r="B25" s="80" t="str" cm="1">
        <f t="array" ref="B25:I35">_xlfn._xlws.SORT(_xlfn._xlws.FILTER(_xlfn._xlws.FILTER('AWACS input'!$C$8:$P$500,'AWACS input'!$P$8:$P$500&gt;=LARGE('AWACS input'!$P$8:$P$500,'Top Brand'!$C$1)),{1,1,1,0,0,0,0,0,0,1,1,1,1,1}),8,-1)</f>
        <v>BRAND</v>
      </c>
      <c r="C25" s="80" t="str">
        <v>COMPANY</v>
      </c>
      <c r="D25" s="80" t="str">
        <v>SKU</v>
      </c>
      <c r="E25" s="80" t="str">
        <v>Sum of MAT UNIT DEC 17</v>
      </c>
      <c r="F25" s="80" t="str">
        <v>Sum of MAT UNIT DEC 18</v>
      </c>
      <c r="G25" s="80" t="str">
        <v>Sum of MAT UNIT DEC 19</v>
      </c>
      <c r="H25" s="80" t="str">
        <v>Sum of MAT UNIT DEC 20</v>
      </c>
      <c r="I25" s="80" t="str">
        <v>Sum of MAT UNIT DEC 21</v>
      </c>
      <c r="J25" s="79"/>
      <c r="K25" s="82" t="s">
        <v>107</v>
      </c>
      <c r="O25" t="str">
        <f>O8</f>
        <v>TENTEX FORTE</v>
      </c>
      <c r="Q25" s="83">
        <f>(Q8-P8)/P8</f>
        <v>0.28815566073594323</v>
      </c>
      <c r="R25" s="83">
        <f>(R8-Q8)/Q8</f>
        <v>0.10397244097953881</v>
      </c>
      <c r="S25" s="83">
        <f t="shared" ref="S25:T25" si="4">(S8-R8)/R8</f>
        <v>7.5181190079791779E-2</v>
      </c>
      <c r="T25" s="83">
        <f t="shared" si="4"/>
        <v>7.3534585517599657E-2</v>
      </c>
    </row>
    <row r="26" spans="1:20">
      <c r="A26" cm="1">
        <f t="array" ref="A26:A35">_xlfn.SEQUENCE(C1)</f>
        <v>1</v>
      </c>
      <c r="B26" t="str">
        <v>TENTEX FORTE</v>
      </c>
      <c r="C26" t="str">
        <v>HIMALAYA DRUG COMPANY</v>
      </c>
      <c r="D26" t="str">
        <v>TENTEX FORTE TABLET 10</v>
      </c>
      <c r="E26" s="79">
        <v>3847.7170000000001</v>
      </c>
      <c r="F26" s="79">
        <v>4786.9840000000004</v>
      </c>
      <c r="G26" s="79">
        <v>4922.0479999999998</v>
      </c>
      <c r="H26" s="79">
        <v>4981.3540000000003</v>
      </c>
      <c r="I26" s="79">
        <v>4786.4629999999997</v>
      </c>
      <c r="J26" s="79"/>
      <c r="K26" s="83">
        <f>IF(I26="","",I26/$I$37)</f>
        <v>0.3442120227252885</v>
      </c>
      <c r="O26" t="str">
        <f t="shared" ref="O26:O29" si="5">O9</f>
        <v>CONFIDO</v>
      </c>
      <c r="Q26" s="83">
        <f>(Q9-P9)/P9</f>
        <v>0.15310190996510145</v>
      </c>
      <c r="R26" s="83">
        <f t="shared" ref="R26:T26" si="6">(R9-Q9)/Q9</f>
        <v>3.7219865691564204E-3</v>
      </c>
      <c r="S26" s="83">
        <f t="shared" si="6"/>
        <v>0.12643457317574214</v>
      </c>
      <c r="T26" s="83">
        <f t="shared" si="6"/>
        <v>3.8743553372503819E-2</v>
      </c>
    </row>
    <row r="27" spans="1:20">
      <c r="A27">
        <v>2</v>
      </c>
      <c r="B27" t="str">
        <v>CONFIDO</v>
      </c>
      <c r="C27" t="str">
        <v>HIMALAYA DRUG COMPANY</v>
      </c>
      <c r="D27" t="str">
        <v>CONFIDO TABLET 60</v>
      </c>
      <c r="E27" s="79">
        <v>2106.1010000000001</v>
      </c>
      <c r="F27" s="79">
        <v>2384.4720000000002</v>
      </c>
      <c r="G27" s="79">
        <v>2208.768</v>
      </c>
      <c r="H27" s="79">
        <v>2280.9090000000001</v>
      </c>
      <c r="I27" s="79">
        <v>2233.203</v>
      </c>
      <c r="J27" s="79"/>
      <c r="K27" s="83">
        <f t="shared" ref="K27:K35" si="7">IF(I27="","",I27/$I$37)</f>
        <v>0.16059777789699459</v>
      </c>
      <c r="O27" t="str">
        <f t="shared" si="5"/>
        <v>ADDYZOA</v>
      </c>
      <c r="Q27" s="83">
        <f t="shared" ref="Q27:T29" si="8">(Q10-P10)/P10</f>
        <v>0.1023138778810764</v>
      </c>
      <c r="R27" s="83">
        <f t="shared" si="8"/>
        <v>-3.1970358661491484E-2</v>
      </c>
      <c r="S27" s="83">
        <f t="shared" si="8"/>
        <v>6.3329772646305404E-2</v>
      </c>
      <c r="T27" s="83">
        <f t="shared" si="8"/>
        <v>6.1221494439592281E-2</v>
      </c>
    </row>
    <row r="28" spans="1:20">
      <c r="A28">
        <v>3</v>
      </c>
      <c r="B28" t="str">
        <v>ADDYZOA</v>
      </c>
      <c r="C28" t="str">
        <v>CHARAK PHARMA PVT LTD</v>
      </c>
      <c r="D28" t="str">
        <v>ADDYZOA CAPSULE 20</v>
      </c>
      <c r="E28" s="79">
        <v>987.26700000000005</v>
      </c>
      <c r="F28" s="79">
        <v>1063.1210000000001</v>
      </c>
      <c r="G28" s="79">
        <v>971.048</v>
      </c>
      <c r="H28" s="79">
        <v>994.23500000000001</v>
      </c>
      <c r="I28" s="79">
        <v>1006.264</v>
      </c>
      <c r="J28" s="79"/>
      <c r="K28" s="83">
        <f t="shared" si="7"/>
        <v>7.2364116642213622E-2</v>
      </c>
      <c r="O28" t="str">
        <f t="shared" si="5"/>
        <v>HIMCOLIN</v>
      </c>
      <c r="Q28" s="83">
        <f t="shared" si="8"/>
        <v>0.61265472664858511</v>
      </c>
      <c r="R28" s="83">
        <f t="shared" si="8"/>
        <v>0.1902828876354275</v>
      </c>
      <c r="S28" s="83">
        <f t="shared" si="8"/>
        <v>-0.15250836682885002</v>
      </c>
      <c r="T28" s="83">
        <f t="shared" si="8"/>
        <v>-6.4353863877379111E-2</v>
      </c>
    </row>
    <row r="29" spans="1:20">
      <c r="A29">
        <v>4</v>
      </c>
      <c r="B29" t="str">
        <v>ERACT X</v>
      </c>
      <c r="C29" t="str">
        <v>ZYDUS CADILA - ZHL</v>
      </c>
      <c r="D29" t="str">
        <v>ERACT X SACHET 10 GM</v>
      </c>
      <c r="E29" s="79">
        <v>0</v>
      </c>
      <c r="F29" s="79">
        <v>280.93299999999999</v>
      </c>
      <c r="G29" s="79">
        <v>1050.002</v>
      </c>
      <c r="H29" s="79">
        <v>1048.4480000000001</v>
      </c>
      <c r="I29" s="79">
        <v>991.46699999999998</v>
      </c>
      <c r="J29" s="79"/>
      <c r="K29" s="83">
        <f t="shared" si="7"/>
        <v>7.130001036994825E-2</v>
      </c>
      <c r="O29" t="str">
        <f t="shared" si="5"/>
        <v>SIOTONE</v>
      </c>
      <c r="Q29" s="83">
        <f t="shared" si="8"/>
        <v>-6.8574188561320235E-2</v>
      </c>
      <c r="R29" s="83">
        <f t="shared" si="8"/>
        <v>-1.0627366468700137E-2</v>
      </c>
      <c r="S29" s="83">
        <f t="shared" si="8"/>
        <v>-0.22365999928850439</v>
      </c>
      <c r="T29" s="83">
        <f t="shared" si="8"/>
        <v>0.21232053736048201</v>
      </c>
    </row>
    <row r="30" spans="1:20">
      <c r="A30">
        <v>5</v>
      </c>
      <c r="B30" t="str">
        <v>HIMCOLIN</v>
      </c>
      <c r="C30" t="str">
        <v>HIMALAYA DRUG COMPANY</v>
      </c>
      <c r="D30" t="str">
        <v>HIMCOLIN GEL 30 GM</v>
      </c>
      <c r="E30" s="79">
        <v>665.23400000000004</v>
      </c>
      <c r="F30" s="79">
        <v>1063.107</v>
      </c>
      <c r="G30" s="79">
        <v>1188.086</v>
      </c>
      <c r="H30" s="79">
        <v>938.26499999999999</v>
      </c>
      <c r="I30" s="79">
        <v>821.65599999999995</v>
      </c>
      <c r="J30" s="79"/>
      <c r="K30" s="83">
        <f t="shared" si="7"/>
        <v>5.9088281627659008E-2</v>
      </c>
    </row>
    <row r="31" spans="1:20">
      <c r="A31">
        <v>6</v>
      </c>
      <c r="B31" t="str">
        <v>SPEMAN</v>
      </c>
      <c r="C31" t="str">
        <v>HIMALAYA DRUG COMPANY</v>
      </c>
      <c r="D31" t="str">
        <v>SPEMAN TABLET 60</v>
      </c>
      <c r="E31" s="79">
        <v>1094.8810000000001</v>
      </c>
      <c r="F31" s="79">
        <v>1086.1120000000001</v>
      </c>
      <c r="G31" s="79">
        <v>996.86099999999999</v>
      </c>
      <c r="H31" s="79">
        <v>865.02200000000005</v>
      </c>
      <c r="I31" s="79">
        <v>735.43100000000004</v>
      </c>
      <c r="J31" s="79"/>
      <c r="K31" s="83">
        <f t="shared" si="7"/>
        <v>5.288752719594441E-2</v>
      </c>
    </row>
    <row r="32" spans="1:20">
      <c r="A32">
        <v>7</v>
      </c>
      <c r="B32" t="str">
        <v>SIOTONE</v>
      </c>
      <c r="C32" t="str">
        <v>ALBERT DAVID</v>
      </c>
      <c r="D32" t="str">
        <v>SIOTONE CAPSULE 10</v>
      </c>
      <c r="E32" s="79">
        <v>865.05600000000004</v>
      </c>
      <c r="F32" s="79">
        <v>832.46400000000006</v>
      </c>
      <c r="G32" s="79">
        <v>786.66</v>
      </c>
      <c r="H32" s="79">
        <v>581.279</v>
      </c>
      <c r="I32" s="79">
        <v>665.23699999999997</v>
      </c>
      <c r="J32" s="79"/>
      <c r="K32" s="83">
        <f t="shared" si="7"/>
        <v>4.7839620480029356E-2</v>
      </c>
    </row>
    <row r="33" spans="1:20">
      <c r="A33">
        <v>8</v>
      </c>
      <c r="B33" t="str">
        <v>NEO</v>
      </c>
      <c r="C33" t="str">
        <v>CHARAK PHARMA PVT LTD</v>
      </c>
      <c r="D33" t="str">
        <v>NEO TABLET 75</v>
      </c>
      <c r="E33" s="79">
        <v>603.18499999999995</v>
      </c>
      <c r="F33" s="79">
        <v>625.20500000000004</v>
      </c>
      <c r="G33" s="79">
        <v>627.91499999999996</v>
      </c>
      <c r="H33" s="79">
        <v>574.18299999999999</v>
      </c>
      <c r="I33" s="79">
        <v>590.35299999999995</v>
      </c>
      <c r="J33" s="79"/>
      <c r="K33" s="83">
        <f t="shared" si="7"/>
        <v>4.2454438747764736E-2</v>
      </c>
      <c r="O33" t="s">
        <v>345</v>
      </c>
      <c r="Q33" s="83">
        <f>(Q16-P16)/P16</f>
        <v>-1.6349666899722302E-2</v>
      </c>
      <c r="R33" s="83">
        <f t="shared" ref="R33:T33" si="9">(R16-Q16)/Q16</f>
        <v>-3.6330489222251676E-2</v>
      </c>
      <c r="S33" s="83">
        <f t="shared" si="9"/>
        <v>-3.6369603866494194E-3</v>
      </c>
      <c r="T33" s="83">
        <f t="shared" si="9"/>
        <v>0.17886369591805309</v>
      </c>
    </row>
    <row r="34" spans="1:20">
      <c r="A34">
        <v>9</v>
      </c>
      <c r="B34" t="str">
        <v>NANO LEO TOTAL</v>
      </c>
      <c r="C34" t="str">
        <v>SANZYME LTD</v>
      </c>
      <c r="D34" t="str">
        <v>NANO LEO TOTAL SACHET 3 GM</v>
      </c>
      <c r="E34" s="79">
        <v>625.61500000000001</v>
      </c>
      <c r="F34" s="79">
        <v>713.16499999999996</v>
      </c>
      <c r="G34" s="79">
        <v>549.07100000000003</v>
      </c>
      <c r="H34" s="79">
        <v>365.851</v>
      </c>
      <c r="I34" s="79">
        <v>450.577</v>
      </c>
      <c r="J34" s="79"/>
      <c r="K34" s="83">
        <f t="shared" si="7"/>
        <v>3.2402636469454023E-2</v>
      </c>
      <c r="O34" t="s">
        <v>355</v>
      </c>
      <c r="Q34" s="83">
        <f>(Q17-P17)/P17</f>
        <v>0.10487216405476403</v>
      </c>
      <c r="R34" s="83">
        <f>(R17-Q17)/Q17</f>
        <v>5.6858811119018436E-2</v>
      </c>
      <c r="S34" s="83">
        <f>(S17-R17)/R17</f>
        <v>-4.9778852101511784E-2</v>
      </c>
      <c r="T34" s="83">
        <f>(T17-S17)/S17</f>
        <v>7.7617594175713803E-2</v>
      </c>
    </row>
    <row r="35" spans="1:20">
      <c r="A35">
        <v>10</v>
      </c>
      <c r="B35" t="str">
        <v>SEMENTO</v>
      </c>
      <c r="C35" t="str">
        <v>AIMIL PHARMACEUTICAL (INDIA)</v>
      </c>
      <c r="D35" t="str">
        <v>SEMENTO CAPSULE 20</v>
      </c>
      <c r="E35" s="79">
        <v>0</v>
      </c>
      <c r="F35" s="79">
        <v>0</v>
      </c>
      <c r="G35" s="79">
        <v>97.344999999999999</v>
      </c>
      <c r="H35" s="79">
        <v>247.66800000000001</v>
      </c>
      <c r="I35" s="79">
        <v>239.452</v>
      </c>
      <c r="J35" s="79"/>
      <c r="K35" s="83">
        <f t="shared" si="7"/>
        <v>1.7219867210007844E-2</v>
      </c>
    </row>
    <row r="36" spans="1:20">
      <c r="E36" s="79"/>
      <c r="F36" s="79"/>
      <c r="G36" s="79"/>
      <c r="H36" s="79"/>
      <c r="I36" s="79"/>
      <c r="J36" s="79"/>
    </row>
    <row r="37" spans="1:20">
      <c r="A37" s="107" t="s">
        <v>355</v>
      </c>
      <c r="E37" s="79">
        <f>_xlfn.XLOOKUP(E25,'AWACS input'!$8:$8,'AWACS input'!$7:$7)</f>
        <v>13509.862000000005</v>
      </c>
      <c r="F37" s="79">
        <f>_xlfn.XLOOKUP(F25,'AWACS input'!$8:$8,'AWACS input'!$7:$7)</f>
        <v>15218.666999999999</v>
      </c>
      <c r="G37" s="79">
        <f>_xlfn.XLOOKUP(G25,'AWACS input'!$8:$8,'AWACS input'!$7:$7)</f>
        <v>15416.960999999999</v>
      </c>
      <c r="H37" s="79">
        <f>_xlfn.XLOOKUP(H25,'AWACS input'!$8:$8,'AWACS input'!$7:$7)</f>
        <v>14219.935000000001</v>
      </c>
      <c r="I37" s="79">
        <f>_xlfn.XLOOKUP(I25,'AWACS input'!$8:$8,'AWACS input'!$7:$7)</f>
        <v>13905.566000000003</v>
      </c>
      <c r="J37" s="79"/>
    </row>
    <row r="38" spans="1:20">
      <c r="E38" s="79"/>
      <c r="F38" s="79"/>
      <c r="G38" s="79"/>
      <c r="H38" s="79"/>
      <c r="I38" s="79"/>
      <c r="J38" s="79"/>
    </row>
    <row r="39" spans="1:20">
      <c r="E39" s="79"/>
      <c r="F39" s="79"/>
      <c r="G39" s="79"/>
      <c r="H39" s="79"/>
      <c r="I39" s="79"/>
      <c r="J39" s="79"/>
    </row>
    <row r="40" spans="1:20">
      <c r="E40" s="79"/>
      <c r="F40" s="79"/>
      <c r="G40" s="79"/>
      <c r="H40" s="79"/>
      <c r="I40" s="79"/>
      <c r="J40" s="79"/>
    </row>
    <row r="41" spans="1:20">
      <c r="E41" s="79"/>
      <c r="F41" s="79"/>
      <c r="G41" s="79"/>
      <c r="H41" s="79"/>
      <c r="I41" s="79"/>
      <c r="J41" s="79"/>
    </row>
    <row r="42" spans="1:20">
      <c r="E42" s="79"/>
      <c r="F42" s="79"/>
      <c r="G42" s="79"/>
      <c r="H42" s="79"/>
      <c r="I42" s="79"/>
      <c r="J42" s="79"/>
    </row>
    <row r="43" spans="1:20">
      <c r="E43" s="79"/>
      <c r="F43" s="79"/>
      <c r="G43" s="79"/>
      <c r="H43" s="79"/>
      <c r="I43" s="79"/>
      <c r="J43" s="79"/>
    </row>
    <row r="44" spans="1:20">
      <c r="B44" s="160" t="s">
        <v>438</v>
      </c>
      <c r="C44" t="s">
        <v>437</v>
      </c>
      <c r="D44" t="s">
        <v>441</v>
      </c>
      <c r="E44" t="s">
        <v>440</v>
      </c>
      <c r="F44" s="79"/>
      <c r="G44" s="161" t="str">
        <f>RIGHT(D44,10)</f>
        <v>VAL DEC 20</v>
      </c>
      <c r="H44" s="161" t="str">
        <f>RIGHT(E44,10)</f>
        <v>VAL DEC 21</v>
      </c>
      <c r="I44" s="161" t="s">
        <v>442</v>
      </c>
      <c r="J44" s="161" t="s">
        <v>443</v>
      </c>
    </row>
    <row r="45" spans="1:20">
      <c r="B45" s="111" t="s">
        <v>217</v>
      </c>
      <c r="C45">
        <v>4</v>
      </c>
      <c r="D45" s="79">
        <v>62.386314346000006</v>
      </c>
      <c r="E45" s="79">
        <v>63.371908742000002</v>
      </c>
      <c r="F45" s="161" t="str">
        <f>B45</f>
        <v>HIMALAYA DRUG COMPANY</v>
      </c>
      <c r="G45" s="79">
        <f>GETPIVOTDATA("Sum of Sum of MAT VAL DEC 20",$B$44,"COMPANY",F45)</f>
        <v>62.386314346000006</v>
      </c>
      <c r="H45" s="79">
        <f>GETPIVOTDATA("Sum of Sum of MAT VAL DEC 21",$B$44,"COMPANY",F45)</f>
        <v>63.371908742000002</v>
      </c>
      <c r="I45" s="83">
        <f>(H45-G45)/H45</f>
        <v>1.5552543951493594E-2</v>
      </c>
      <c r="J45" s="83">
        <f>H45/$J$19</f>
        <v>0.45491873835773933</v>
      </c>
      <c r="L45" t="str">
        <f>CONCATENATE(_xlfn.TEXTBEFORE(F45," ")," ~",ROUND(H45,1),"Cr ~",TEXT(I45,"0%"),"GR ~",TEXT(J45,"0%"),"MS")</f>
        <v>HIMALAYA ~63.4Cr ~2%GR ~45%MS</v>
      </c>
    </row>
    <row r="46" spans="1:20">
      <c r="B46" s="111" t="s">
        <v>222</v>
      </c>
      <c r="C46">
        <v>8</v>
      </c>
      <c r="D46" s="79">
        <v>19.160694237000001</v>
      </c>
      <c r="E46" s="79">
        <v>20.202969123999999</v>
      </c>
      <c r="F46" s="161" t="str">
        <f t="shared" ref="F46:F47" si="10">B46</f>
        <v>CHARAK PHARMA PVT LTD</v>
      </c>
      <c r="G46" s="79">
        <f t="shared" ref="G46:G47" si="11">GETPIVOTDATA("Sum of Sum of MAT VAL DEC 20",$B$44,"COMPANY",F46)</f>
        <v>19.160694237000001</v>
      </c>
      <c r="H46" s="79">
        <f t="shared" ref="H46:H47" si="12">GETPIVOTDATA("Sum of Sum of MAT VAL DEC 21",$B$44,"COMPANY",F46)</f>
        <v>20.202969123999999</v>
      </c>
      <c r="I46" s="83">
        <f t="shared" ref="I46:I47" si="13">(H46-G46)/H46</f>
        <v>5.159018363107002E-2</v>
      </c>
      <c r="J46" s="83">
        <f t="shared" ref="J46:J47" si="14">H46/$J$19</f>
        <v>0.14502812693219796</v>
      </c>
      <c r="L46" t="str">
        <f t="shared" ref="L46:L47" si="15">CONCATENATE(_xlfn.TEXTBEFORE(F46," ")," ~",ROUND(H46,1),"Cr ~",TEXT(I46,"0%"),"GR ~",TEXT(J46,"0%"),"MS")</f>
        <v>CHARAK ~20.2Cr ~5%GR ~15%MS</v>
      </c>
    </row>
    <row r="47" spans="1:20">
      <c r="B47" s="111" t="s">
        <v>235</v>
      </c>
      <c r="C47">
        <v>3</v>
      </c>
      <c r="D47" s="79">
        <v>6.4285077629999998</v>
      </c>
      <c r="E47" s="79">
        <v>9.5847300549999996</v>
      </c>
      <c r="F47" s="161" t="str">
        <f t="shared" si="10"/>
        <v>SANZYME LTD</v>
      </c>
      <c r="G47" s="79">
        <f t="shared" si="11"/>
        <v>6.4285077629999998</v>
      </c>
      <c r="H47" s="79">
        <f t="shared" si="12"/>
        <v>9.5847300549999996</v>
      </c>
      <c r="I47" s="83">
        <f t="shared" si="13"/>
        <v>0.32929694147760741</v>
      </c>
      <c r="J47" s="83">
        <f t="shared" si="14"/>
        <v>6.8804512767189477E-2</v>
      </c>
      <c r="L47" t="str">
        <f t="shared" si="15"/>
        <v>SANZYME ~9.6Cr ~33%GR ~7%MS</v>
      </c>
    </row>
    <row r="48" spans="1:20">
      <c r="B48" s="111" t="s">
        <v>227</v>
      </c>
      <c r="C48">
        <v>1</v>
      </c>
      <c r="D48" s="79">
        <v>6.394069</v>
      </c>
      <c r="E48" s="79">
        <v>7.7516611659999999</v>
      </c>
      <c r="G48" s="79"/>
      <c r="H48" s="79"/>
      <c r="I48" s="79"/>
      <c r="J48" s="79"/>
    </row>
    <row r="49" spans="2:10">
      <c r="B49" s="111" t="s">
        <v>230</v>
      </c>
      <c r="C49">
        <v>1</v>
      </c>
      <c r="D49" s="79">
        <v>6.33752724</v>
      </c>
      <c r="E49" s="79">
        <v>7.3298755199999999</v>
      </c>
      <c r="F49" s="79"/>
      <c r="G49" s="79"/>
      <c r="H49" s="79"/>
      <c r="I49" s="161" t="str" cm="1">
        <f t="array" ref="I49">_xlfn.IFS(J45&gt;60%,"Monopoly",J49&gt;65%,"Oligopoly",J49&lt;65%,"Fragmented")</f>
        <v>Oligopoly</v>
      </c>
      <c r="J49" s="83">
        <f>SUM(J45:J48)</f>
        <v>0.66875137805712681</v>
      </c>
    </row>
    <row r="50" spans="2:10">
      <c r="B50" s="111" t="s">
        <v>241</v>
      </c>
      <c r="C50">
        <v>3</v>
      </c>
      <c r="D50" s="79">
        <v>6.765180816</v>
      </c>
      <c r="E50" s="79">
        <v>7.0189128489999995</v>
      </c>
      <c r="F50" s="79"/>
      <c r="G50" s="79"/>
      <c r="H50" s="79"/>
      <c r="I50" s="79"/>
      <c r="J50" s="79"/>
    </row>
    <row r="51" spans="2:10">
      <c r="B51" s="111" t="s">
        <v>238</v>
      </c>
      <c r="C51">
        <v>4</v>
      </c>
      <c r="D51" s="79">
        <v>5.4070119679999999</v>
      </c>
      <c r="E51" s="79">
        <v>6.5596022099999995</v>
      </c>
      <c r="F51" s="79"/>
      <c r="G51" s="79"/>
      <c r="H51" s="79"/>
      <c r="I51" s="79"/>
      <c r="J51" s="79"/>
    </row>
    <row r="52" spans="2:10">
      <c r="B52" s="111" t="s">
        <v>246</v>
      </c>
      <c r="C52">
        <v>1</v>
      </c>
      <c r="D52" s="79">
        <v>4.0179179639999996</v>
      </c>
      <c r="E52" s="79">
        <v>4.1960721349999996</v>
      </c>
      <c r="F52" s="79"/>
      <c r="G52" s="79"/>
      <c r="H52" s="79"/>
      <c r="I52" s="79"/>
      <c r="J52" s="79"/>
    </row>
    <row r="53" spans="2:10">
      <c r="B53" s="111" t="s">
        <v>249</v>
      </c>
      <c r="C53">
        <v>6</v>
      </c>
      <c r="D53" s="79">
        <v>3.1625553980000003</v>
      </c>
      <c r="E53" s="79">
        <v>3.7598093829999994</v>
      </c>
      <c r="F53" s="79"/>
      <c r="G53" s="79"/>
      <c r="H53" s="79"/>
      <c r="I53" s="79"/>
      <c r="J53" s="79"/>
    </row>
    <row r="54" spans="2:10">
      <c r="B54" s="111" t="s">
        <v>263</v>
      </c>
      <c r="C54">
        <v>2</v>
      </c>
      <c r="D54" s="79">
        <v>3.4936396630000002</v>
      </c>
      <c r="E54" s="79">
        <v>3.6309430449999995</v>
      </c>
      <c r="F54" s="79"/>
      <c r="G54" s="79"/>
      <c r="H54" s="79"/>
      <c r="I54" s="79"/>
      <c r="J54" s="79"/>
    </row>
    <row r="55" spans="2:10">
      <c r="B55" s="111" t="s">
        <v>260</v>
      </c>
      <c r="C55">
        <v>1</v>
      </c>
      <c r="D55" s="79">
        <v>2.6047323200000001</v>
      </c>
      <c r="E55" s="79">
        <v>2.396207226</v>
      </c>
      <c r="F55" s="79"/>
      <c r="G55" s="79"/>
      <c r="H55" s="79"/>
      <c r="I55" s="79"/>
      <c r="J55" s="79"/>
    </row>
    <row r="56" spans="2:10">
      <c r="B56" s="111" t="s">
        <v>266</v>
      </c>
      <c r="C56">
        <v>3</v>
      </c>
      <c r="D56" s="79">
        <v>1.0913403239999999</v>
      </c>
      <c r="E56" s="79">
        <v>1.6857135470000002</v>
      </c>
      <c r="F56" s="79"/>
      <c r="G56" s="79"/>
      <c r="H56" s="79"/>
      <c r="I56" s="79"/>
      <c r="J56" s="79"/>
    </row>
    <row r="57" spans="2:10">
      <c r="B57" s="111" t="s">
        <v>278</v>
      </c>
      <c r="C57">
        <v>2</v>
      </c>
      <c r="D57" s="79">
        <v>0.73862427200000003</v>
      </c>
      <c r="E57" s="79">
        <v>0.84980044700000001</v>
      </c>
      <c r="F57" s="79"/>
      <c r="G57" s="79"/>
      <c r="H57" s="79"/>
      <c r="I57" s="79"/>
      <c r="J57" s="79"/>
    </row>
    <row r="58" spans="2:10">
      <c r="B58" s="111" t="s">
        <v>284</v>
      </c>
      <c r="C58">
        <v>1</v>
      </c>
      <c r="D58" s="79">
        <v>0.420943285</v>
      </c>
      <c r="E58" s="79">
        <v>0.326885482</v>
      </c>
      <c r="F58" s="79"/>
      <c r="G58" s="79"/>
      <c r="H58" s="79"/>
      <c r="I58" s="79"/>
      <c r="J58" s="79"/>
    </row>
    <row r="59" spans="2:10">
      <c r="B59" s="111" t="s">
        <v>290</v>
      </c>
      <c r="C59">
        <v>1</v>
      </c>
      <c r="D59" s="79">
        <v>6.3096942000000003E-2</v>
      </c>
      <c r="E59" s="79">
        <v>0.26755080999999997</v>
      </c>
      <c r="F59" s="79"/>
      <c r="G59" s="79"/>
      <c r="H59" s="79"/>
      <c r="I59" s="79"/>
      <c r="J59" s="79"/>
    </row>
    <row r="60" spans="2:10">
      <c r="B60" s="111" t="s">
        <v>293</v>
      </c>
      <c r="C60">
        <v>1</v>
      </c>
      <c r="D60" s="79">
        <v>0.300093583</v>
      </c>
      <c r="E60" s="79">
        <v>0.21831198600000001</v>
      </c>
      <c r="F60" s="79"/>
      <c r="G60" s="79"/>
      <c r="H60" s="79"/>
      <c r="I60" s="79"/>
      <c r="J60" s="79"/>
    </row>
    <row r="61" spans="2:10">
      <c r="B61" s="111" t="s">
        <v>300</v>
      </c>
      <c r="C61">
        <v>2</v>
      </c>
      <c r="D61" s="79">
        <v>0.22503303899999999</v>
      </c>
      <c r="E61" s="79">
        <v>7.6077427000000003E-2</v>
      </c>
      <c r="F61" s="79"/>
      <c r="G61" s="79"/>
      <c r="H61" s="79"/>
      <c r="I61" s="79"/>
      <c r="J61" s="79"/>
    </row>
    <row r="62" spans="2:10">
      <c r="B62" s="111" t="s">
        <v>306</v>
      </c>
      <c r="C62">
        <v>2</v>
      </c>
      <c r="D62" s="79">
        <v>9.1500000000000001E-3</v>
      </c>
      <c r="E62" s="79">
        <v>2.3550000000000001E-2</v>
      </c>
      <c r="F62" s="79"/>
      <c r="G62" s="79"/>
      <c r="H62" s="79"/>
      <c r="I62" s="79"/>
      <c r="J62" s="79"/>
    </row>
    <row r="63" spans="2:10">
      <c r="B63" s="111" t="s">
        <v>310</v>
      </c>
      <c r="C63">
        <v>1</v>
      </c>
      <c r="D63" s="79">
        <v>1.3801536E-2</v>
      </c>
      <c r="E63" s="79">
        <v>1.7505E-2</v>
      </c>
      <c r="F63" s="79"/>
      <c r="G63" s="79"/>
      <c r="H63" s="79"/>
      <c r="I63" s="79"/>
      <c r="J63" s="79"/>
    </row>
    <row r="64" spans="2:10">
      <c r="B64" s="111" t="s">
        <v>313</v>
      </c>
      <c r="C64">
        <v>1</v>
      </c>
      <c r="D64" s="79">
        <v>3.8654968999999997E-2</v>
      </c>
      <c r="E64" s="79">
        <v>1.3476505E-2</v>
      </c>
      <c r="F64" s="79"/>
      <c r="G64" s="79"/>
      <c r="H64" s="79"/>
      <c r="I64" s="79"/>
      <c r="J64" s="79"/>
    </row>
    <row r="65" spans="2:10">
      <c r="B65" s="111" t="s">
        <v>316</v>
      </c>
      <c r="C65">
        <v>1</v>
      </c>
      <c r="D65" s="79">
        <v>0</v>
      </c>
      <c r="E65" s="79">
        <v>1.25716E-2</v>
      </c>
      <c r="F65" s="79"/>
      <c r="G65" s="79"/>
      <c r="H65" s="79"/>
      <c r="I65" s="79"/>
      <c r="J65" s="79"/>
    </row>
    <row r="66" spans="2:10">
      <c r="B66" s="111" t="s">
        <v>319</v>
      </c>
      <c r="C66">
        <v>1</v>
      </c>
      <c r="D66" s="79">
        <v>6.6855599999999995E-4</v>
      </c>
      <c r="E66" s="79">
        <v>5.1924670000000001E-3</v>
      </c>
      <c r="F66" s="79"/>
      <c r="G66" s="79"/>
      <c r="H66" s="79"/>
      <c r="I66" s="79"/>
      <c r="J66" s="79"/>
    </row>
    <row r="67" spans="2:10">
      <c r="B67" s="111" t="s">
        <v>322</v>
      </c>
      <c r="C67">
        <v>3</v>
      </c>
      <c r="D67" s="79">
        <v>1.6976399999999999E-2</v>
      </c>
      <c r="E67" s="79">
        <v>4.4593999999999996E-3</v>
      </c>
      <c r="F67" s="79"/>
      <c r="G67" s="79"/>
      <c r="H67" s="79"/>
      <c r="I67" s="79"/>
      <c r="J67" s="79"/>
    </row>
    <row r="68" spans="2:10">
      <c r="B68" s="111" t="s">
        <v>329</v>
      </c>
      <c r="C68">
        <v>1</v>
      </c>
      <c r="D68" s="79">
        <v>0.184608463</v>
      </c>
      <c r="E68" s="79">
        <v>1.3429E-5</v>
      </c>
      <c r="F68" s="79"/>
      <c r="G68" s="79"/>
      <c r="H68" s="79"/>
      <c r="I68" s="79"/>
      <c r="J68" s="79"/>
    </row>
    <row r="69" spans="2:10">
      <c r="B69" s="111" t="s">
        <v>338</v>
      </c>
      <c r="C69">
        <v>2</v>
      </c>
      <c r="D69" s="79">
        <v>1.6961000000000001E-3</v>
      </c>
      <c r="E69" s="79">
        <v>0</v>
      </c>
      <c r="F69" s="79"/>
      <c r="G69" s="79"/>
      <c r="H69" s="79"/>
      <c r="I69" s="79"/>
      <c r="J69" s="79"/>
    </row>
    <row r="70" spans="2:10">
      <c r="B70" s="111" t="s">
        <v>335</v>
      </c>
      <c r="C70">
        <v>1</v>
      </c>
      <c r="D70" s="79">
        <v>0</v>
      </c>
      <c r="E70" s="79">
        <v>0</v>
      </c>
      <c r="F70" s="79"/>
      <c r="G70" s="79"/>
      <c r="H70" s="79"/>
      <c r="I70" s="79"/>
      <c r="J70" s="79"/>
    </row>
    <row r="71" spans="2:10">
      <c r="B71" s="111" t="s">
        <v>332</v>
      </c>
      <c r="C71">
        <v>1</v>
      </c>
      <c r="D71" s="79">
        <v>7.3225E-3</v>
      </c>
      <c r="E71" s="79">
        <v>0</v>
      </c>
      <c r="F71" s="79"/>
      <c r="G71" s="79"/>
      <c r="H71" s="79"/>
      <c r="I71" s="79"/>
      <c r="J71" s="79"/>
    </row>
    <row r="72" spans="2:10">
      <c r="B72" s="111" t="s">
        <v>439</v>
      </c>
      <c r="C72">
        <v>58</v>
      </c>
      <c r="D72" s="79">
        <v>129.27016068400005</v>
      </c>
      <c r="E72" s="79">
        <v>139.30379955499998</v>
      </c>
      <c r="F72" s="79"/>
      <c r="G72" s="79"/>
      <c r="H72" s="79"/>
      <c r="I72" s="79"/>
      <c r="J72" s="79"/>
    </row>
    <row r="73" spans="2:10">
      <c r="E73" s="79"/>
      <c r="F73" s="79"/>
      <c r="G73" s="79"/>
      <c r="H73" s="79"/>
      <c r="I73" s="79"/>
      <c r="J73" s="79"/>
    </row>
    <row r="74" spans="2:10">
      <c r="E74" s="79"/>
      <c r="F74" s="79"/>
      <c r="G74" s="79"/>
      <c r="H74" s="79"/>
      <c r="I74" s="79"/>
      <c r="J74" s="79"/>
    </row>
    <row r="75" spans="2:10">
      <c r="E75" s="79"/>
      <c r="F75" s="79"/>
      <c r="G75" s="79"/>
      <c r="H75" s="79"/>
      <c r="I75" s="79"/>
      <c r="J75" s="79"/>
    </row>
    <row r="76" spans="2:10">
      <c r="E76" s="79"/>
      <c r="F76" s="79"/>
      <c r="G76" s="79"/>
      <c r="H76" s="79"/>
      <c r="I76" s="79"/>
      <c r="J76" s="79"/>
    </row>
    <row r="77" spans="2:10">
      <c r="E77" s="79"/>
      <c r="F77" s="79"/>
      <c r="G77" s="79"/>
      <c r="H77" s="79"/>
      <c r="I77" s="79"/>
      <c r="J77" s="79"/>
    </row>
    <row r="78" spans="2:10">
      <c r="E78" s="79"/>
      <c r="F78" s="79"/>
      <c r="G78" s="79"/>
      <c r="H78" s="79"/>
      <c r="I78" s="79"/>
      <c r="J78" s="79"/>
    </row>
    <row r="79" spans="2:10">
      <c r="E79" s="79"/>
      <c r="F79" s="79"/>
      <c r="G79" s="79"/>
      <c r="H79" s="79"/>
      <c r="I79" s="79"/>
      <c r="J79" s="79"/>
    </row>
    <row r="80" spans="2:10">
      <c r="E80" s="79"/>
      <c r="F80" s="79"/>
      <c r="G80" s="79"/>
      <c r="H80" s="79"/>
      <c r="I80" s="79"/>
      <c r="J80" s="79"/>
    </row>
  </sheetData>
  <mergeCells count="2">
    <mergeCell ref="A5:K5"/>
    <mergeCell ref="A23:K23"/>
  </mergeCells>
  <conditionalFormatting sqref="Q25:T29">
    <cfRule type="colorScale" priority="3">
      <colorScale>
        <cfvo type="min"/>
        <cfvo type="max"/>
        <color rgb="FFFCFCFF"/>
        <color rgb="FF63BE7B"/>
      </colorScale>
    </cfRule>
  </conditionalFormatting>
  <conditionalFormatting sqref="Q33:T33">
    <cfRule type="colorScale" priority="1">
      <colorScale>
        <cfvo type="min"/>
        <cfvo type="max"/>
        <color rgb="FFFCFCFF"/>
        <color rgb="FF63BE7B"/>
      </colorScale>
    </cfRule>
  </conditionalFormatting>
  <dataValidations disablePrompts="1" count="1">
    <dataValidation type="whole" allowBlank="1" showInputMessage="1" showErrorMessage="1" sqref="C1" xr:uid="{BC8A90D3-61AA-9E48-8EA8-FB0DFCCEF719}">
      <formula1>0</formula1>
      <formula2>10</formula2>
    </dataValidation>
  </dataValidations>
  <hyperlinks>
    <hyperlink ref="B2" location="Contents!A1" display="Contents!A1" xr:uid="{2BDEB1B3-3F70-ED44-A885-D598B994956F}"/>
  </hyperlinks>
  <pageMargins left="0.7" right="0.7" top="0.75" bottom="0.75" header="0.3" footer="0.3"/>
  <pageSetup paperSize="9" orientation="portrait" horizontalDpi="0" verticalDpi="0"/>
  <ignoredErrors>
    <ignoredError sqref="J6 F6:I6" formulaRange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38C2-3D51-1F48-94E7-A22A6B73EA52}">
  <dimension ref="A1:CK500"/>
  <sheetViews>
    <sheetView workbookViewId="0">
      <selection activeCell="A8" sqref="A8"/>
    </sheetView>
  </sheetViews>
  <sheetFormatPr defaultColWidth="8.8125" defaultRowHeight="14.25"/>
  <cols>
    <col min="1" max="1" width="6.6875" style="78" customWidth="1"/>
    <col min="2" max="2" width="35.1875" style="78" bestFit="1" customWidth="1"/>
    <col min="3" max="3" width="23" style="78" bestFit="1" customWidth="1"/>
    <col min="4" max="4" width="11.6875" style="78" customWidth="1"/>
    <col min="5" max="5" width="27" style="78" customWidth="1"/>
    <col min="6" max="6" width="8.8125" style="78"/>
    <col min="7" max="11" width="21.8125" style="78" customWidth="1"/>
    <col min="12" max="16" width="22.3125" style="78" customWidth="1"/>
    <col min="17" max="17" width="10.5" style="78" customWidth="1"/>
    <col min="18" max="18" width="25.3125" style="78" bestFit="1" customWidth="1"/>
    <col min="19" max="19" width="25" style="78" bestFit="1" customWidth="1"/>
    <col min="20" max="20" width="25.6875" style="78" customWidth="1"/>
    <col min="21" max="21" width="25" style="78" customWidth="1"/>
    <col min="22" max="22" width="25.6875" style="78" customWidth="1"/>
    <col min="23" max="23" width="24.8125" style="78" customWidth="1"/>
    <col min="24" max="24" width="24.5" style="78" customWidth="1"/>
    <col min="25" max="25" width="25.3125" style="78" customWidth="1"/>
    <col min="26" max="26" width="24.5" style="78" customWidth="1"/>
    <col min="27" max="27" width="24.8125" style="78" customWidth="1"/>
    <col min="28" max="28" width="25.3125" style="78" customWidth="1"/>
    <col min="29" max="30" width="24.8125" style="78" customWidth="1"/>
    <col min="31" max="31" width="24.5" style="78" customWidth="1"/>
    <col min="32" max="32" width="25.6875" style="78" customWidth="1"/>
    <col min="33" max="33" width="25" style="78" customWidth="1"/>
    <col min="34" max="34" width="25.6875" style="78" customWidth="1"/>
    <col min="35" max="35" width="24.8125" style="78" customWidth="1"/>
    <col min="36" max="36" width="24.5" style="78" customWidth="1"/>
    <col min="37" max="37" width="25.3125" style="78" customWidth="1"/>
    <col min="38" max="38" width="24.5" style="78" customWidth="1"/>
    <col min="39" max="39" width="24.8125" style="78" customWidth="1"/>
    <col min="40" max="40" width="25.3125" style="78" customWidth="1"/>
    <col min="41" max="42" width="24.8125" style="78" customWidth="1"/>
    <col min="43" max="43" width="24.5" style="78" customWidth="1"/>
    <col min="44" max="44" width="25.6875" style="78" customWidth="1"/>
    <col min="45" max="45" width="25" style="78" customWidth="1"/>
    <col min="46" max="46" width="25.6875" style="78" customWidth="1"/>
    <col min="47" max="47" width="24.8125" style="78" customWidth="1"/>
    <col min="48" max="48" width="24.5" style="78" customWidth="1"/>
    <col min="49" max="49" width="25.3125" style="78" customWidth="1"/>
    <col min="50" max="50" width="24.5" style="78" customWidth="1"/>
    <col min="51" max="51" width="24.8125" style="78" customWidth="1"/>
    <col min="52" max="52" width="25.3125" style="78" customWidth="1"/>
    <col min="53" max="53" width="24.8125" style="78" customWidth="1"/>
    <col min="54" max="54" width="23.3125" style="78" customWidth="1"/>
    <col min="55" max="55" width="23" style="78" customWidth="1"/>
    <col min="56" max="56" width="24.1875" style="78" customWidth="1"/>
    <col min="57" max="57" width="23.5" style="78" customWidth="1"/>
    <col min="58" max="58" width="24.1875" style="78" customWidth="1"/>
    <col min="59" max="59" width="23.3125" style="78" customWidth="1"/>
    <col min="60" max="60" width="23" style="78" customWidth="1"/>
    <col min="61" max="61" width="23.8125" style="78" customWidth="1"/>
    <col min="62" max="62" width="23" style="78" customWidth="1"/>
    <col min="63" max="63" width="23.3125" style="78" customWidth="1"/>
    <col min="64" max="64" width="23.8125" style="78" customWidth="1"/>
    <col min="65" max="66" width="23.3125" style="78" customWidth="1"/>
    <col min="67" max="67" width="23" style="78" customWidth="1"/>
    <col min="68" max="68" width="24.1875" style="78" customWidth="1"/>
    <col min="69" max="69" width="23.5" style="78" customWidth="1"/>
    <col min="70" max="70" width="24.1875" style="78" customWidth="1"/>
    <col min="71" max="71" width="23.3125" style="78" customWidth="1"/>
    <col min="72" max="72" width="23" style="78" customWidth="1"/>
    <col min="73" max="73" width="23.8125" style="78" customWidth="1"/>
    <col min="74" max="74" width="23" style="78" customWidth="1"/>
    <col min="75" max="75" width="23.3125" style="78" customWidth="1"/>
    <col min="76" max="76" width="23.8125" style="78" customWidth="1"/>
    <col min="77" max="78" width="23.3125" style="78" customWidth="1"/>
    <col min="79" max="79" width="23" style="78" customWidth="1"/>
    <col min="80" max="80" width="24.1875" style="78" customWidth="1"/>
    <col min="81" max="81" width="23.5" style="78" customWidth="1"/>
    <col min="82" max="82" width="24.1875" style="78" customWidth="1"/>
    <col min="83" max="83" width="23.3125" style="78" customWidth="1"/>
    <col min="84" max="84" width="23" style="78" customWidth="1"/>
    <col min="85" max="85" width="23.8125" style="78" customWidth="1"/>
    <col min="86" max="86" width="23" style="78" customWidth="1"/>
    <col min="87" max="87" width="23.3125" style="78" customWidth="1"/>
    <col min="88" max="88" width="23.8125" style="78" customWidth="1"/>
    <col min="89" max="89" width="23.3125" style="78" customWidth="1"/>
    <col min="90" max="16384" width="8.8125" style="78"/>
  </cols>
  <sheetData>
    <row r="1" spans="1:89">
      <c r="G1" s="78" t="str">
        <f>"20"&amp;RIGHT(G8,2)</f>
        <v>2017</v>
      </c>
      <c r="H1" s="78" t="str">
        <f t="shared" ref="H1:K1" si="0">"20"&amp;RIGHT(H8,2)</f>
        <v>2018</v>
      </c>
      <c r="I1" s="78" t="str">
        <f t="shared" si="0"/>
        <v>2019</v>
      </c>
      <c r="J1" s="78" t="str">
        <f t="shared" si="0"/>
        <v>2020</v>
      </c>
      <c r="K1" s="78" t="str">
        <f t="shared" si="0"/>
        <v>2021</v>
      </c>
    </row>
    <row r="2" spans="1:89">
      <c r="B2" s="78" t="str">
        <f>'Product Orientation'!B1</f>
        <v>TTK HEALTHCARE LTD</v>
      </c>
      <c r="C2" s="78" t="s">
        <v>382</v>
      </c>
      <c r="D2" s="139">
        <f>((K7/G7)^(1/COUNT(G7:K7)))-1</f>
        <v>3.639109796871498E-2</v>
      </c>
      <c r="E2" s="78">
        <f>COUNT(G9:K9)</f>
        <v>5</v>
      </c>
      <c r="F2" s="78" t="s">
        <v>386</v>
      </c>
    </row>
    <row r="3" spans="1:89">
      <c r="B3" s="78" t="str">
        <f>'Product Orientation'!B3</f>
        <v>VIRILEX</v>
      </c>
      <c r="C3" s="78" t="s">
        <v>14</v>
      </c>
      <c r="D3" s="106">
        <f>K7</f>
        <v>139.30379955499998</v>
      </c>
      <c r="E3" s="78" t="s">
        <v>383</v>
      </c>
      <c r="G3" s="106">
        <f>_xlfn.XLOOKUP($B$3,$C$9:$C$600,G9:G600)</f>
        <v>5.6440445280000002</v>
      </c>
      <c r="H3" s="106">
        <f t="shared" ref="H3:K3" si="1">_xlfn.XLOOKUP($B$3,$C$9:$C$600,H9:H600)</f>
        <v>5.5517662799999998</v>
      </c>
      <c r="I3" s="106">
        <f t="shared" si="1"/>
        <v>5.3500678949999996</v>
      </c>
      <c r="J3" s="106">
        <f t="shared" si="1"/>
        <v>5.3306099099999997</v>
      </c>
      <c r="K3" s="106">
        <f t="shared" si="1"/>
        <v>6.2840625000000001</v>
      </c>
    </row>
    <row r="4" spans="1:89">
      <c r="C4" s="78" t="s">
        <v>385</v>
      </c>
      <c r="D4" s="139">
        <f>(K7-J7)/J7</f>
        <v>7.7617594175713803E-2</v>
      </c>
    </row>
    <row r="5" spans="1:89">
      <c r="C5" s="78" t="s">
        <v>384</v>
      </c>
      <c r="D5" s="78" cm="1">
        <f t="array" ref="D5">SUMPRODUCT(1/COUNTIF(C9:C66,C9:C66))</f>
        <v>42</v>
      </c>
    </row>
    <row r="6" spans="1:89">
      <c r="C6" s="78" t="s">
        <v>436</v>
      </c>
      <c r="D6" s="78" cm="1">
        <f t="array" ref="D6">SUMPRODUCT(1/COUNTIF(D9:D66,D9:D66))</f>
        <v>27</v>
      </c>
    </row>
    <row r="7" spans="1:89">
      <c r="B7" s="78" t="s">
        <v>353</v>
      </c>
      <c r="C7" s="78">
        <f>IFERROR(_xlfn.XMATCH("Total",A9:A500,0,1),0)</f>
        <v>0</v>
      </c>
      <c r="E7" s="78" t="s">
        <v>354</v>
      </c>
      <c r="G7" s="106">
        <f t="shared" ref="G7:AL7" si="2">SUBTOTAL(9,G9:G998)</f>
        <v>116.50500751200001</v>
      </c>
      <c r="H7" s="106">
        <f t="shared" si="2"/>
        <v>128.72313977299999</v>
      </c>
      <c r="I7" s="106">
        <f t="shared" si="2"/>
        <v>136.042184464</v>
      </c>
      <c r="J7" s="106">
        <f t="shared" si="2"/>
        <v>129.27016068399996</v>
      </c>
      <c r="K7" s="106">
        <f t="shared" si="2"/>
        <v>139.30379955499998</v>
      </c>
      <c r="L7" s="106">
        <f t="shared" si="2"/>
        <v>13509.862000000005</v>
      </c>
      <c r="M7" s="106">
        <f t="shared" si="2"/>
        <v>15218.666999999999</v>
      </c>
      <c r="N7" s="106">
        <f t="shared" si="2"/>
        <v>15416.960999999999</v>
      </c>
      <c r="O7" s="106">
        <f t="shared" si="2"/>
        <v>14219.935000000001</v>
      </c>
      <c r="P7" s="106">
        <f t="shared" si="2"/>
        <v>13905.566000000003</v>
      </c>
      <c r="Q7" s="106">
        <f t="shared" si="2"/>
        <v>0</v>
      </c>
      <c r="R7" s="106">
        <f t="shared" si="2"/>
        <v>128341136.55000001</v>
      </c>
      <c r="S7" s="106">
        <f t="shared" si="2"/>
        <v>117422317.25999998</v>
      </c>
      <c r="T7" s="106">
        <f t="shared" si="2"/>
        <v>111928251.97999999</v>
      </c>
      <c r="U7" s="106">
        <f t="shared" si="2"/>
        <v>120078197.80999999</v>
      </c>
      <c r="V7" s="106">
        <f t="shared" si="2"/>
        <v>112387706.23999998</v>
      </c>
      <c r="W7" s="106">
        <f t="shared" si="2"/>
        <v>101225414.19</v>
      </c>
      <c r="X7" s="106">
        <f t="shared" si="2"/>
        <v>102865990.56999993</v>
      </c>
      <c r="Y7" s="106">
        <f t="shared" si="2"/>
        <v>114273754.42000003</v>
      </c>
      <c r="Z7" s="106">
        <f t="shared" si="2"/>
        <v>112187467.22999997</v>
      </c>
      <c r="AA7" s="106">
        <f t="shared" si="2"/>
        <v>102987378.18000002</v>
      </c>
      <c r="AB7" s="106">
        <f t="shared" si="2"/>
        <v>114602026.52000003</v>
      </c>
      <c r="AC7" s="106">
        <f t="shared" si="2"/>
        <v>122122203.69</v>
      </c>
      <c r="AD7" s="106">
        <f t="shared" si="2"/>
        <v>131373578.96999998</v>
      </c>
      <c r="AE7" s="106">
        <f t="shared" si="2"/>
        <v>131638489.58000001</v>
      </c>
      <c r="AF7" s="106">
        <f t="shared" si="2"/>
        <v>101091569.28000005</v>
      </c>
      <c r="AG7" s="106">
        <f t="shared" si="2"/>
        <v>75576639.099999949</v>
      </c>
      <c r="AH7" s="106">
        <f t="shared" si="2"/>
        <v>82443821.599999979</v>
      </c>
      <c r="AI7" s="106">
        <f t="shared" si="2"/>
        <v>99954023.829999983</v>
      </c>
      <c r="AJ7" s="106">
        <f t="shared" si="2"/>
        <v>107488443.05999997</v>
      </c>
      <c r="AK7" s="106">
        <f t="shared" si="2"/>
        <v>107687226.50999998</v>
      </c>
      <c r="AL7" s="106">
        <f t="shared" si="2"/>
        <v>105716254.77000001</v>
      </c>
      <c r="AM7" s="106">
        <f t="shared" ref="AM7:BR7" si="3">SUBTOTAL(9,AM9:AM998)</f>
        <v>110992758.42</v>
      </c>
      <c r="AN7" s="106">
        <f t="shared" si="3"/>
        <v>107054597.27</v>
      </c>
      <c r="AO7" s="106">
        <f t="shared" si="3"/>
        <v>131684204.44999997</v>
      </c>
      <c r="AP7" s="106">
        <f t="shared" si="3"/>
        <v>128711685.61999999</v>
      </c>
      <c r="AQ7" s="106">
        <f t="shared" si="3"/>
        <v>123940742.54999998</v>
      </c>
      <c r="AR7" s="106">
        <f t="shared" si="3"/>
        <v>119165188.21000002</v>
      </c>
      <c r="AS7" s="106">
        <f t="shared" si="3"/>
        <v>108424118.11999997</v>
      </c>
      <c r="AT7" s="106">
        <f t="shared" si="3"/>
        <v>91803329.980000064</v>
      </c>
      <c r="AU7" s="106">
        <f t="shared" si="3"/>
        <v>112201535.38000003</v>
      </c>
      <c r="AV7" s="106">
        <f t="shared" si="3"/>
        <v>117751775.25000004</v>
      </c>
      <c r="AW7" s="106">
        <f t="shared" si="3"/>
        <v>112053705.83000003</v>
      </c>
      <c r="AX7" s="106">
        <f t="shared" si="3"/>
        <v>120825325.17</v>
      </c>
      <c r="AY7" s="106">
        <f t="shared" si="3"/>
        <v>115182774.33</v>
      </c>
      <c r="AZ7" s="106">
        <f t="shared" si="3"/>
        <v>107262970.10000004</v>
      </c>
      <c r="BA7" s="106">
        <f t="shared" si="3"/>
        <v>135714845.00999996</v>
      </c>
      <c r="BB7" s="106">
        <f t="shared" si="3"/>
        <v>1491295</v>
      </c>
      <c r="BC7" s="106">
        <f t="shared" si="3"/>
        <v>1332751</v>
      </c>
      <c r="BD7" s="106">
        <f t="shared" si="3"/>
        <v>1240001</v>
      </c>
      <c r="BE7" s="106">
        <f t="shared" si="3"/>
        <v>1331568</v>
      </c>
      <c r="BF7" s="106">
        <f t="shared" si="3"/>
        <v>1233523</v>
      </c>
      <c r="BG7" s="106">
        <f t="shared" si="3"/>
        <v>1109818</v>
      </c>
      <c r="BH7" s="106">
        <f t="shared" si="3"/>
        <v>1126318</v>
      </c>
      <c r="BI7" s="106">
        <f t="shared" si="3"/>
        <v>1351437</v>
      </c>
      <c r="BJ7" s="106">
        <f t="shared" si="3"/>
        <v>1328975</v>
      </c>
      <c r="BK7" s="106">
        <f t="shared" si="3"/>
        <v>1139262</v>
      </c>
      <c r="BL7" s="106">
        <f t="shared" si="3"/>
        <v>1281298</v>
      </c>
      <c r="BM7" s="106">
        <f t="shared" si="3"/>
        <v>1450715</v>
      </c>
      <c r="BN7" s="106">
        <f t="shared" si="3"/>
        <v>1478711</v>
      </c>
      <c r="BO7" s="106">
        <f t="shared" si="3"/>
        <v>1460924</v>
      </c>
      <c r="BP7" s="106">
        <f t="shared" si="3"/>
        <v>1102676</v>
      </c>
      <c r="BQ7" s="106">
        <f t="shared" si="3"/>
        <v>827070</v>
      </c>
      <c r="BR7" s="106">
        <f t="shared" si="3"/>
        <v>900916</v>
      </c>
      <c r="BS7" s="106">
        <f t="shared" ref="BS7:CK7" si="4">SUBTOTAL(9,BS9:BS998)</f>
        <v>1093602</v>
      </c>
      <c r="BT7" s="106">
        <f t="shared" si="4"/>
        <v>1241428</v>
      </c>
      <c r="BU7" s="106">
        <f t="shared" si="4"/>
        <v>1205843</v>
      </c>
      <c r="BV7" s="106">
        <f t="shared" si="4"/>
        <v>1153771</v>
      </c>
      <c r="BW7" s="106">
        <f t="shared" si="4"/>
        <v>1173294</v>
      </c>
      <c r="BX7" s="106">
        <f t="shared" si="4"/>
        <v>1102283</v>
      </c>
      <c r="BY7" s="106">
        <f t="shared" si="4"/>
        <v>1479417</v>
      </c>
      <c r="BZ7" s="106">
        <f t="shared" si="4"/>
        <v>1406368</v>
      </c>
      <c r="CA7" s="106">
        <f t="shared" si="4"/>
        <v>1321788</v>
      </c>
      <c r="CB7" s="106">
        <f t="shared" si="4"/>
        <v>1199432</v>
      </c>
      <c r="CC7" s="106">
        <f t="shared" si="4"/>
        <v>1065510</v>
      </c>
      <c r="CD7" s="106">
        <f t="shared" si="4"/>
        <v>886456</v>
      </c>
      <c r="CE7" s="106">
        <f t="shared" si="4"/>
        <v>1168738</v>
      </c>
      <c r="CF7" s="106">
        <f t="shared" si="4"/>
        <v>1243622</v>
      </c>
      <c r="CG7" s="106">
        <f t="shared" si="4"/>
        <v>1089202</v>
      </c>
      <c r="CH7" s="106">
        <f t="shared" si="4"/>
        <v>1151712</v>
      </c>
      <c r="CI7" s="106">
        <f t="shared" si="4"/>
        <v>1067459</v>
      </c>
      <c r="CJ7" s="106">
        <f t="shared" si="4"/>
        <v>957963</v>
      </c>
      <c r="CK7" s="106">
        <f t="shared" si="4"/>
        <v>1347316</v>
      </c>
    </row>
    <row r="8" spans="1:89">
      <c r="B8" s="93" t="s">
        <v>128</v>
      </c>
      <c r="C8" s="94" t="s">
        <v>129</v>
      </c>
      <c r="D8" s="94" t="s">
        <v>130</v>
      </c>
      <c r="E8" s="94" t="s">
        <v>131</v>
      </c>
      <c r="F8" s="94" t="s">
        <v>132</v>
      </c>
      <c r="G8" s="94" t="s">
        <v>133</v>
      </c>
      <c r="H8" s="94" t="s">
        <v>134</v>
      </c>
      <c r="I8" s="94" t="s">
        <v>135</v>
      </c>
      <c r="J8" s="94" t="s">
        <v>136</v>
      </c>
      <c r="K8" s="94" t="s">
        <v>137</v>
      </c>
      <c r="L8" s="94" t="s">
        <v>138</v>
      </c>
      <c r="M8" s="94" t="s">
        <v>139</v>
      </c>
      <c r="N8" s="94" t="s">
        <v>140</v>
      </c>
      <c r="O8" s="94" t="s">
        <v>141</v>
      </c>
      <c r="P8" s="94" t="s">
        <v>142</v>
      </c>
      <c r="Q8" s="94" t="s">
        <v>343</v>
      </c>
      <c r="R8" s="94" t="s">
        <v>143</v>
      </c>
      <c r="S8" s="94" t="s">
        <v>144</v>
      </c>
      <c r="T8" s="94" t="s">
        <v>145</v>
      </c>
      <c r="U8" s="94" t="s">
        <v>146</v>
      </c>
      <c r="V8" s="94" t="s">
        <v>147</v>
      </c>
      <c r="W8" s="94" t="s">
        <v>148</v>
      </c>
      <c r="X8" s="94" t="s">
        <v>149</v>
      </c>
      <c r="Y8" s="94" t="s">
        <v>150</v>
      </c>
      <c r="Z8" s="94" t="s">
        <v>151</v>
      </c>
      <c r="AA8" s="94" t="s">
        <v>152</v>
      </c>
      <c r="AB8" s="94" t="s">
        <v>153</v>
      </c>
      <c r="AC8" s="94" t="s">
        <v>154</v>
      </c>
      <c r="AD8" s="94" t="s">
        <v>155</v>
      </c>
      <c r="AE8" s="94" t="s">
        <v>156</v>
      </c>
      <c r="AF8" s="94" t="s">
        <v>157</v>
      </c>
      <c r="AG8" s="94" t="s">
        <v>158</v>
      </c>
      <c r="AH8" s="94" t="s">
        <v>159</v>
      </c>
      <c r="AI8" s="94" t="s">
        <v>160</v>
      </c>
      <c r="AJ8" s="94" t="s">
        <v>161</v>
      </c>
      <c r="AK8" s="94" t="s">
        <v>162</v>
      </c>
      <c r="AL8" s="94" t="s">
        <v>163</v>
      </c>
      <c r="AM8" s="94" t="s">
        <v>164</v>
      </c>
      <c r="AN8" s="94" t="s">
        <v>165</v>
      </c>
      <c r="AO8" s="94" t="s">
        <v>166</v>
      </c>
      <c r="AP8" s="94" t="s">
        <v>167</v>
      </c>
      <c r="AQ8" s="94" t="s">
        <v>168</v>
      </c>
      <c r="AR8" s="94" t="s">
        <v>169</v>
      </c>
      <c r="AS8" s="94" t="s">
        <v>170</v>
      </c>
      <c r="AT8" s="94" t="s">
        <v>171</v>
      </c>
      <c r="AU8" s="94" t="s">
        <v>172</v>
      </c>
      <c r="AV8" s="94" t="s">
        <v>173</v>
      </c>
      <c r="AW8" s="94" t="s">
        <v>174</v>
      </c>
      <c r="AX8" s="94" t="s">
        <v>175</v>
      </c>
      <c r="AY8" s="94" t="s">
        <v>176</v>
      </c>
      <c r="AZ8" s="94" t="s">
        <v>177</v>
      </c>
      <c r="BA8" s="94" t="s">
        <v>178</v>
      </c>
      <c r="BB8" s="94" t="s">
        <v>179</v>
      </c>
      <c r="BC8" s="94" t="s">
        <v>180</v>
      </c>
      <c r="BD8" s="94" t="s">
        <v>181</v>
      </c>
      <c r="BE8" s="94" t="s">
        <v>182</v>
      </c>
      <c r="BF8" s="94" t="s">
        <v>183</v>
      </c>
      <c r="BG8" s="94" t="s">
        <v>184</v>
      </c>
      <c r="BH8" s="94" t="s">
        <v>185</v>
      </c>
      <c r="BI8" s="94" t="s">
        <v>186</v>
      </c>
      <c r="BJ8" s="94" t="s">
        <v>187</v>
      </c>
      <c r="BK8" s="94" t="s">
        <v>188</v>
      </c>
      <c r="BL8" s="94" t="s">
        <v>189</v>
      </c>
      <c r="BM8" s="94" t="s">
        <v>190</v>
      </c>
      <c r="BN8" s="94" t="s">
        <v>191</v>
      </c>
      <c r="BO8" s="94" t="s">
        <v>192</v>
      </c>
      <c r="BP8" s="94" t="s">
        <v>193</v>
      </c>
      <c r="BQ8" s="94" t="s">
        <v>194</v>
      </c>
      <c r="BR8" s="94" t="s">
        <v>195</v>
      </c>
      <c r="BS8" s="94" t="s">
        <v>196</v>
      </c>
      <c r="BT8" s="94" t="s">
        <v>197</v>
      </c>
      <c r="BU8" s="94" t="s">
        <v>198</v>
      </c>
      <c r="BV8" s="94" t="s">
        <v>199</v>
      </c>
      <c r="BW8" s="94" t="s">
        <v>200</v>
      </c>
      <c r="BX8" s="94" t="s">
        <v>201</v>
      </c>
      <c r="BY8" s="94" t="s">
        <v>202</v>
      </c>
      <c r="BZ8" s="94" t="s">
        <v>203</v>
      </c>
      <c r="CA8" s="94" t="s">
        <v>204</v>
      </c>
      <c r="CB8" s="94" t="s">
        <v>205</v>
      </c>
      <c r="CC8" s="94" t="s">
        <v>206</v>
      </c>
      <c r="CD8" s="94" t="s">
        <v>207</v>
      </c>
      <c r="CE8" s="94" t="s">
        <v>208</v>
      </c>
      <c r="CF8" s="94" t="s">
        <v>209</v>
      </c>
      <c r="CG8" s="94" t="s">
        <v>210</v>
      </c>
      <c r="CH8" s="94" t="s">
        <v>211</v>
      </c>
      <c r="CI8" s="94" t="s">
        <v>212</v>
      </c>
      <c r="CJ8" s="94" t="s">
        <v>213</v>
      </c>
      <c r="CK8" s="95" t="s">
        <v>214</v>
      </c>
    </row>
    <row r="9" spans="1:89">
      <c r="A9" s="78" t="str">
        <f>RIGHT(B9,5)</f>
        <v xml:space="preserve"> V3X2</v>
      </c>
      <c r="B9" s="96" t="s">
        <v>215</v>
      </c>
      <c r="C9" s="97" t="s">
        <v>216</v>
      </c>
      <c r="D9" s="98" t="s">
        <v>217</v>
      </c>
      <c r="E9" s="97" t="s">
        <v>218</v>
      </c>
      <c r="F9" s="98">
        <v>55</v>
      </c>
      <c r="G9" s="99">
        <v>15.467838215</v>
      </c>
      <c r="H9" s="99">
        <v>19.924983355999998</v>
      </c>
      <c r="I9" s="99">
        <v>21.996632512000001</v>
      </c>
      <c r="J9" s="99">
        <v>23.650365522000001</v>
      </c>
      <c r="K9" s="99">
        <v>25.389485348000001</v>
      </c>
      <c r="L9" s="99">
        <v>3847.7170000000001</v>
      </c>
      <c r="M9" s="99">
        <v>4786.9840000000004</v>
      </c>
      <c r="N9" s="99">
        <v>4922.0479999999998</v>
      </c>
      <c r="O9" s="99">
        <v>4981.3540000000003</v>
      </c>
      <c r="P9" s="99">
        <v>4786.4629999999997</v>
      </c>
      <c r="Q9" s="99"/>
      <c r="R9" s="99">
        <v>22715971.690000001</v>
      </c>
      <c r="S9" s="99">
        <v>20052492.379999999</v>
      </c>
      <c r="T9" s="99">
        <v>15807836.18</v>
      </c>
      <c r="U9" s="99">
        <v>15621121.359999999</v>
      </c>
      <c r="V9" s="99">
        <v>14714182.5</v>
      </c>
      <c r="W9" s="99">
        <v>13004164.34</v>
      </c>
      <c r="X9" s="99">
        <v>13860335.359999999</v>
      </c>
      <c r="Y9" s="99">
        <v>23283400.620000001</v>
      </c>
      <c r="Z9" s="99">
        <v>22796994.66</v>
      </c>
      <c r="AA9" s="99">
        <v>15280226.039999999</v>
      </c>
      <c r="AB9" s="99">
        <v>17043380.609999999</v>
      </c>
      <c r="AC9" s="99">
        <v>25786219.379999999</v>
      </c>
      <c r="AD9" s="99">
        <v>23223471.329999998</v>
      </c>
      <c r="AE9" s="99">
        <v>18458087.25</v>
      </c>
      <c r="AF9" s="99">
        <v>16742728.439999999</v>
      </c>
      <c r="AG9" s="99">
        <v>14638729.560000001</v>
      </c>
      <c r="AH9" s="99">
        <v>15778548</v>
      </c>
      <c r="AI9" s="99">
        <v>18363313.800000001</v>
      </c>
      <c r="AJ9" s="99">
        <v>25927296.600000001</v>
      </c>
      <c r="AK9" s="99">
        <v>20998798.079999998</v>
      </c>
      <c r="AL9" s="99">
        <v>18466146.239999998</v>
      </c>
      <c r="AM9" s="99">
        <v>17872104.84</v>
      </c>
      <c r="AN9" s="99">
        <v>15925217.76</v>
      </c>
      <c r="AO9" s="99">
        <v>30109213.32</v>
      </c>
      <c r="AP9" s="99">
        <v>24370518.359999999</v>
      </c>
      <c r="AQ9" s="99">
        <v>22533874.199999999</v>
      </c>
      <c r="AR9" s="99">
        <v>18565465.920000002</v>
      </c>
      <c r="AS9" s="99">
        <v>18529885</v>
      </c>
      <c r="AT9" s="99">
        <v>15318820</v>
      </c>
      <c r="AU9" s="99">
        <v>26278450</v>
      </c>
      <c r="AV9" s="99">
        <v>29635485</v>
      </c>
      <c r="AW9" s="99">
        <v>19733340</v>
      </c>
      <c r="AX9" s="99">
        <v>18119475</v>
      </c>
      <c r="AY9" s="99">
        <v>16004890</v>
      </c>
      <c r="AZ9" s="99">
        <v>14179055</v>
      </c>
      <c r="BA9" s="99">
        <v>30625595</v>
      </c>
      <c r="BB9" s="99">
        <v>508301</v>
      </c>
      <c r="BC9" s="99">
        <v>448702</v>
      </c>
      <c r="BD9" s="99">
        <v>353722</v>
      </c>
      <c r="BE9" s="99">
        <v>349544</v>
      </c>
      <c r="BF9" s="99">
        <v>329250</v>
      </c>
      <c r="BG9" s="99">
        <v>290986</v>
      </c>
      <c r="BH9" s="99">
        <v>310144</v>
      </c>
      <c r="BI9" s="99">
        <v>520998</v>
      </c>
      <c r="BJ9" s="99">
        <v>510114</v>
      </c>
      <c r="BK9" s="99">
        <v>341916</v>
      </c>
      <c r="BL9" s="99">
        <v>381369</v>
      </c>
      <c r="BM9" s="99">
        <v>577002</v>
      </c>
      <c r="BN9" s="99">
        <v>519657</v>
      </c>
      <c r="BO9" s="99">
        <v>413025</v>
      </c>
      <c r="BP9" s="99">
        <v>347937</v>
      </c>
      <c r="BQ9" s="99">
        <v>304213</v>
      </c>
      <c r="BR9" s="99">
        <v>327900</v>
      </c>
      <c r="BS9" s="99">
        <v>381615</v>
      </c>
      <c r="BT9" s="99">
        <v>538805</v>
      </c>
      <c r="BU9" s="99">
        <v>436384</v>
      </c>
      <c r="BV9" s="99">
        <v>383752</v>
      </c>
      <c r="BW9" s="99">
        <v>371407</v>
      </c>
      <c r="BX9" s="99">
        <v>330948</v>
      </c>
      <c r="BY9" s="99">
        <v>625711</v>
      </c>
      <c r="BZ9" s="99">
        <v>506453</v>
      </c>
      <c r="CA9" s="99">
        <v>468285</v>
      </c>
      <c r="CB9" s="99">
        <v>385816</v>
      </c>
      <c r="CC9" s="99">
        <v>336907</v>
      </c>
      <c r="CD9" s="99">
        <v>278524</v>
      </c>
      <c r="CE9" s="99">
        <v>477790</v>
      </c>
      <c r="CF9" s="99">
        <v>538827</v>
      </c>
      <c r="CG9" s="99">
        <v>358788</v>
      </c>
      <c r="CH9" s="99">
        <v>329445</v>
      </c>
      <c r="CI9" s="99">
        <v>290998</v>
      </c>
      <c r="CJ9" s="99">
        <v>257801</v>
      </c>
      <c r="CK9" s="100">
        <v>556829</v>
      </c>
    </row>
    <row r="10" spans="1:89">
      <c r="A10" s="78" t="str">
        <f t="shared" ref="A10:A73" si="5">RIGHT(B10,5)</f>
        <v xml:space="preserve"> V3X2</v>
      </c>
      <c r="B10" s="101" t="s">
        <v>215</v>
      </c>
      <c r="C10" s="102" t="s">
        <v>219</v>
      </c>
      <c r="D10" s="103" t="s">
        <v>217</v>
      </c>
      <c r="E10" s="102" t="s">
        <v>220</v>
      </c>
      <c r="F10" s="103">
        <v>96.24</v>
      </c>
      <c r="G10" s="104">
        <v>15.637279852000001</v>
      </c>
      <c r="H10" s="104">
        <v>18.031377264</v>
      </c>
      <c r="I10" s="104">
        <v>18.098489808</v>
      </c>
      <c r="J10" s="104">
        <v>20.386764641999999</v>
      </c>
      <c r="K10" s="104">
        <v>21.176620346</v>
      </c>
      <c r="L10" s="104">
        <v>2106.1010000000001</v>
      </c>
      <c r="M10" s="104">
        <v>2384.4720000000002</v>
      </c>
      <c r="N10" s="104">
        <v>2208.768</v>
      </c>
      <c r="O10" s="104">
        <v>2280.9090000000001</v>
      </c>
      <c r="P10" s="104">
        <v>2233.203</v>
      </c>
      <c r="Q10" s="104"/>
      <c r="R10" s="104">
        <v>13612280.58</v>
      </c>
      <c r="S10" s="104">
        <v>13897372.5</v>
      </c>
      <c r="T10" s="104">
        <v>15390540</v>
      </c>
      <c r="U10" s="104">
        <v>19264740</v>
      </c>
      <c r="V10" s="104">
        <v>16122727.5</v>
      </c>
      <c r="W10" s="104">
        <v>13648635</v>
      </c>
      <c r="X10" s="104">
        <v>14749020</v>
      </c>
      <c r="Y10" s="104">
        <v>14245110</v>
      </c>
      <c r="Z10" s="104">
        <v>14125897.5</v>
      </c>
      <c r="AA10" s="104">
        <v>13549387.5</v>
      </c>
      <c r="AB10" s="104">
        <v>16501485</v>
      </c>
      <c r="AC10" s="104">
        <v>15877702.5</v>
      </c>
      <c r="AD10" s="104">
        <v>19968207.039999999</v>
      </c>
      <c r="AE10" s="104">
        <v>26340464.760000002</v>
      </c>
      <c r="AF10" s="104">
        <v>17055044.699999999</v>
      </c>
      <c r="AG10" s="104">
        <v>12854720.98</v>
      </c>
      <c r="AH10" s="104">
        <v>13991545.199999999</v>
      </c>
      <c r="AI10" s="104">
        <v>14510127.960000001</v>
      </c>
      <c r="AJ10" s="104">
        <v>13943101.24</v>
      </c>
      <c r="AK10" s="104">
        <v>18178372.539999999</v>
      </c>
      <c r="AL10" s="104">
        <v>17562097.440000001</v>
      </c>
      <c r="AM10" s="104">
        <v>16041654.26</v>
      </c>
      <c r="AN10" s="104">
        <v>15973457.32</v>
      </c>
      <c r="AO10" s="104">
        <v>17448852.98</v>
      </c>
      <c r="AP10" s="104">
        <v>21553897.620000001</v>
      </c>
      <c r="AQ10" s="104">
        <v>19582442.960000001</v>
      </c>
      <c r="AR10" s="104">
        <v>18377509.199999999</v>
      </c>
      <c r="AS10" s="104">
        <v>17842318.559999999</v>
      </c>
      <c r="AT10" s="104">
        <v>15617538.48</v>
      </c>
      <c r="AU10" s="104">
        <v>17289516</v>
      </c>
      <c r="AV10" s="104">
        <v>15877482.720000001</v>
      </c>
      <c r="AW10" s="104">
        <v>15265203.84</v>
      </c>
      <c r="AX10" s="104">
        <v>23162465.760000002</v>
      </c>
      <c r="AY10" s="104">
        <v>18132963.359999999</v>
      </c>
      <c r="AZ10" s="104">
        <v>14530603.92</v>
      </c>
      <c r="BA10" s="104">
        <v>14534261.039999999</v>
      </c>
      <c r="BB10" s="104">
        <v>180009</v>
      </c>
      <c r="BC10" s="104">
        <v>168453</v>
      </c>
      <c r="BD10" s="104">
        <v>186552</v>
      </c>
      <c r="BE10" s="104">
        <v>233512</v>
      </c>
      <c r="BF10" s="104">
        <v>195427</v>
      </c>
      <c r="BG10" s="104">
        <v>165438</v>
      </c>
      <c r="BH10" s="104">
        <v>178776</v>
      </c>
      <c r="BI10" s="104">
        <v>172668</v>
      </c>
      <c r="BJ10" s="104">
        <v>171223</v>
      </c>
      <c r="BK10" s="104">
        <v>164235</v>
      </c>
      <c r="BL10" s="104">
        <v>200018</v>
      </c>
      <c r="BM10" s="104">
        <v>192457</v>
      </c>
      <c r="BN10" s="104">
        <v>223408</v>
      </c>
      <c r="BO10" s="104">
        <v>294702</v>
      </c>
      <c r="BP10" s="104">
        <v>190815</v>
      </c>
      <c r="BQ10" s="104">
        <v>143821</v>
      </c>
      <c r="BR10" s="104">
        <v>156540</v>
      </c>
      <c r="BS10" s="104">
        <v>162342</v>
      </c>
      <c r="BT10" s="104">
        <v>155998</v>
      </c>
      <c r="BU10" s="104">
        <v>203383</v>
      </c>
      <c r="BV10" s="104">
        <v>196488</v>
      </c>
      <c r="BW10" s="104">
        <v>179477</v>
      </c>
      <c r="BX10" s="104">
        <v>178714</v>
      </c>
      <c r="BY10" s="104">
        <v>195221</v>
      </c>
      <c r="BZ10" s="104">
        <v>241149</v>
      </c>
      <c r="CA10" s="104">
        <v>219092</v>
      </c>
      <c r="CB10" s="104">
        <v>190955</v>
      </c>
      <c r="CC10" s="104">
        <v>185394</v>
      </c>
      <c r="CD10" s="104">
        <v>162277</v>
      </c>
      <c r="CE10" s="104">
        <v>179650</v>
      </c>
      <c r="CF10" s="104">
        <v>164978</v>
      </c>
      <c r="CG10" s="104">
        <v>158616</v>
      </c>
      <c r="CH10" s="104">
        <v>240674</v>
      </c>
      <c r="CI10" s="104">
        <v>188414</v>
      </c>
      <c r="CJ10" s="104">
        <v>150983</v>
      </c>
      <c r="CK10" s="105">
        <v>151021</v>
      </c>
    </row>
    <row r="11" spans="1:89">
      <c r="A11" s="78" t="str">
        <f t="shared" si="5"/>
        <v xml:space="preserve"> V3X2</v>
      </c>
      <c r="B11" s="96" t="s">
        <v>215</v>
      </c>
      <c r="C11" s="97" t="s">
        <v>221</v>
      </c>
      <c r="D11" s="98" t="s">
        <v>222</v>
      </c>
      <c r="E11" s="97" t="s">
        <v>223</v>
      </c>
      <c r="F11" s="98">
        <v>132.13</v>
      </c>
      <c r="G11" s="99">
        <v>10.837601848</v>
      </c>
      <c r="H11" s="99">
        <v>11.94643892</v>
      </c>
      <c r="I11" s="99">
        <v>11.564506982999999</v>
      </c>
      <c r="J11" s="99">
        <v>12.296884581</v>
      </c>
      <c r="K11" s="99">
        <v>13.049718232</v>
      </c>
      <c r="L11" s="99">
        <v>987.26700000000005</v>
      </c>
      <c r="M11" s="99">
        <v>1063.1210000000001</v>
      </c>
      <c r="N11" s="99">
        <v>971.048</v>
      </c>
      <c r="O11" s="99">
        <v>994.23500000000001</v>
      </c>
      <c r="P11" s="99">
        <v>1006.264</v>
      </c>
      <c r="Q11" s="99"/>
      <c r="R11" s="99">
        <v>9851317.9800000004</v>
      </c>
      <c r="S11" s="99">
        <v>8984650.0800000001</v>
      </c>
      <c r="T11" s="99">
        <v>8524702.8300000001</v>
      </c>
      <c r="U11" s="99">
        <v>9099665.8200000003</v>
      </c>
      <c r="V11" s="99">
        <v>9328771.6199999992</v>
      </c>
      <c r="W11" s="99">
        <v>8862445.8000000007</v>
      </c>
      <c r="X11" s="99">
        <v>9900586.8000000007</v>
      </c>
      <c r="Y11" s="99">
        <v>11292302.84</v>
      </c>
      <c r="Z11" s="99">
        <v>10739841.84</v>
      </c>
      <c r="AA11" s="99">
        <v>9979266.9600000009</v>
      </c>
      <c r="AB11" s="99">
        <v>10281117.08</v>
      </c>
      <c r="AC11" s="99">
        <v>8800400.1799999997</v>
      </c>
      <c r="AD11" s="99">
        <v>9663939.2200000007</v>
      </c>
      <c r="AE11" s="99">
        <v>11600466.800000001</v>
      </c>
      <c r="AF11" s="99">
        <v>8316662.9000000004</v>
      </c>
      <c r="AG11" s="99">
        <v>6111068.5999999996</v>
      </c>
      <c r="AH11" s="99">
        <v>6248394.6200000001</v>
      </c>
      <c r="AI11" s="99">
        <v>9548104.5399999991</v>
      </c>
      <c r="AJ11" s="99">
        <v>10589523.880000001</v>
      </c>
      <c r="AK11" s="99">
        <v>10821678.92</v>
      </c>
      <c r="AL11" s="99">
        <v>11292195.119999999</v>
      </c>
      <c r="AM11" s="99">
        <v>13087906.369999999</v>
      </c>
      <c r="AN11" s="99">
        <v>12395556.390000001</v>
      </c>
      <c r="AO11" s="99">
        <v>13293348.449999999</v>
      </c>
      <c r="AP11" s="99">
        <v>12377122.539999999</v>
      </c>
      <c r="AQ11" s="99">
        <v>11724564.25</v>
      </c>
      <c r="AR11" s="99">
        <v>11907504.32</v>
      </c>
      <c r="AS11" s="99">
        <v>9940421.8300000001</v>
      </c>
      <c r="AT11" s="99">
        <v>7293956.6200000001</v>
      </c>
      <c r="AU11" s="99">
        <v>9316594.9199999999</v>
      </c>
      <c r="AV11" s="99">
        <v>10726049.140000001</v>
      </c>
      <c r="AW11" s="99">
        <v>12906854.789999999</v>
      </c>
      <c r="AX11" s="99">
        <v>11437437.060000001</v>
      </c>
      <c r="AY11" s="99">
        <v>11025059.33</v>
      </c>
      <c r="AZ11" s="99">
        <v>9967358.6799999997</v>
      </c>
      <c r="BA11" s="99">
        <v>11874258.84</v>
      </c>
      <c r="BB11" s="99">
        <v>85138</v>
      </c>
      <c r="BC11" s="99">
        <v>77648</v>
      </c>
      <c r="BD11" s="99">
        <v>73673</v>
      </c>
      <c r="BE11" s="99">
        <v>78642</v>
      </c>
      <c r="BF11" s="99">
        <v>80622</v>
      </c>
      <c r="BG11" s="99">
        <v>72990</v>
      </c>
      <c r="BH11" s="99">
        <v>81540</v>
      </c>
      <c r="BI11" s="99">
        <v>93002</v>
      </c>
      <c r="BJ11" s="99">
        <v>88452</v>
      </c>
      <c r="BK11" s="99">
        <v>82188</v>
      </c>
      <c r="BL11" s="99">
        <v>84674</v>
      </c>
      <c r="BM11" s="99">
        <v>72479</v>
      </c>
      <c r="BN11" s="99">
        <v>79591</v>
      </c>
      <c r="BO11" s="99">
        <v>95540</v>
      </c>
      <c r="BP11" s="99">
        <v>68495</v>
      </c>
      <c r="BQ11" s="99">
        <v>50330</v>
      </c>
      <c r="BR11" s="99">
        <v>51461</v>
      </c>
      <c r="BS11" s="99">
        <v>78637</v>
      </c>
      <c r="BT11" s="99">
        <v>87214</v>
      </c>
      <c r="BU11" s="99">
        <v>89126</v>
      </c>
      <c r="BV11" s="99">
        <v>88824</v>
      </c>
      <c r="BW11" s="99">
        <v>102949</v>
      </c>
      <c r="BX11" s="99">
        <v>97503</v>
      </c>
      <c r="BY11" s="99">
        <v>104565</v>
      </c>
      <c r="BZ11" s="99">
        <v>97358</v>
      </c>
      <c r="CA11" s="99">
        <v>92225</v>
      </c>
      <c r="CB11" s="99">
        <v>93664</v>
      </c>
      <c r="CC11" s="99">
        <v>78191</v>
      </c>
      <c r="CD11" s="99">
        <v>57374</v>
      </c>
      <c r="CE11" s="99">
        <v>73284</v>
      </c>
      <c r="CF11" s="99">
        <v>81178</v>
      </c>
      <c r="CG11" s="99">
        <v>97683</v>
      </c>
      <c r="CH11" s="99">
        <v>86562</v>
      </c>
      <c r="CI11" s="99">
        <v>83441</v>
      </c>
      <c r="CJ11" s="99">
        <v>75436</v>
      </c>
      <c r="CK11" s="100">
        <v>89868</v>
      </c>
    </row>
    <row r="12" spans="1:89">
      <c r="A12" s="78" t="str">
        <f t="shared" si="5"/>
        <v xml:space="preserve"> V3X2</v>
      </c>
      <c r="B12" s="101" t="s">
        <v>215</v>
      </c>
      <c r="C12" s="102" t="s">
        <v>224</v>
      </c>
      <c r="D12" s="103" t="s">
        <v>217</v>
      </c>
      <c r="E12" s="102" t="s">
        <v>225</v>
      </c>
      <c r="F12" s="103">
        <v>120.31</v>
      </c>
      <c r="G12" s="104">
        <v>6.3444093759999998</v>
      </c>
      <c r="H12" s="104">
        <v>10.231341768</v>
      </c>
      <c r="I12" s="104">
        <v>12.178191024</v>
      </c>
      <c r="J12" s="104">
        <v>10.320914999999999</v>
      </c>
      <c r="K12" s="104">
        <v>9.6567242409999992</v>
      </c>
      <c r="L12" s="104">
        <v>665.23400000000004</v>
      </c>
      <c r="M12" s="104">
        <v>1063.107</v>
      </c>
      <c r="N12" s="104">
        <v>1188.086</v>
      </c>
      <c r="O12" s="104">
        <v>938.26499999999999</v>
      </c>
      <c r="P12" s="104">
        <v>821.65599999999995</v>
      </c>
      <c r="Q12" s="104"/>
      <c r="R12" s="104">
        <v>10260723.84</v>
      </c>
      <c r="S12" s="104">
        <v>9748655.4399999995</v>
      </c>
      <c r="T12" s="104">
        <v>8157204.4800000004</v>
      </c>
      <c r="U12" s="104">
        <v>13178426.640000001</v>
      </c>
      <c r="V12" s="104">
        <v>11790328.32</v>
      </c>
      <c r="W12" s="104">
        <v>9385054.3200000003</v>
      </c>
      <c r="X12" s="104">
        <v>9783510</v>
      </c>
      <c r="Y12" s="104">
        <v>8271358.3200000003</v>
      </c>
      <c r="Z12" s="104">
        <v>8884612.9600000009</v>
      </c>
      <c r="AA12" s="104">
        <v>9812280.4800000004</v>
      </c>
      <c r="AB12" s="104">
        <v>11009297.439999999</v>
      </c>
      <c r="AC12" s="104">
        <v>11500458</v>
      </c>
      <c r="AD12" s="104">
        <v>13788500</v>
      </c>
      <c r="AE12" s="104">
        <v>12305810</v>
      </c>
      <c r="AF12" s="104">
        <v>8877330</v>
      </c>
      <c r="AG12" s="104">
        <v>6434230</v>
      </c>
      <c r="AH12" s="104">
        <v>6770170</v>
      </c>
      <c r="AI12" s="104">
        <v>7754340</v>
      </c>
      <c r="AJ12" s="104">
        <v>7034830</v>
      </c>
      <c r="AK12" s="104">
        <v>6675460</v>
      </c>
      <c r="AL12" s="104">
        <v>7338540</v>
      </c>
      <c r="AM12" s="104">
        <v>8561960</v>
      </c>
      <c r="AN12" s="104">
        <v>8043310</v>
      </c>
      <c r="AO12" s="104">
        <v>9624670</v>
      </c>
      <c r="AP12" s="104">
        <v>8775470</v>
      </c>
      <c r="AQ12" s="104">
        <v>8192470</v>
      </c>
      <c r="AR12" s="104">
        <v>7424010</v>
      </c>
      <c r="AS12" s="104">
        <v>7566897.4500000002</v>
      </c>
      <c r="AT12" s="104">
        <v>6671670.7400000002</v>
      </c>
      <c r="AU12" s="104">
        <v>8400284.8200000003</v>
      </c>
      <c r="AV12" s="104">
        <v>8092050.5999999996</v>
      </c>
      <c r="AW12" s="104">
        <v>7781049.25</v>
      </c>
      <c r="AX12" s="104">
        <v>7819789.0700000003</v>
      </c>
      <c r="AY12" s="104">
        <v>9969488.1500000004</v>
      </c>
      <c r="AZ12" s="104">
        <v>8014931.8899999997</v>
      </c>
      <c r="BA12" s="104">
        <v>7859130.4400000004</v>
      </c>
      <c r="BB12" s="104">
        <v>106616</v>
      </c>
      <c r="BC12" s="104">
        <v>94537</v>
      </c>
      <c r="BD12" s="104">
        <v>79104</v>
      </c>
      <c r="BE12" s="104">
        <v>127797</v>
      </c>
      <c r="BF12" s="104">
        <v>114336</v>
      </c>
      <c r="BG12" s="104">
        <v>91011</v>
      </c>
      <c r="BH12" s="104">
        <v>94875</v>
      </c>
      <c r="BI12" s="104">
        <v>80211</v>
      </c>
      <c r="BJ12" s="104">
        <v>86158</v>
      </c>
      <c r="BK12" s="104">
        <v>95154</v>
      </c>
      <c r="BL12" s="104">
        <v>106762</v>
      </c>
      <c r="BM12" s="104">
        <v>111525</v>
      </c>
      <c r="BN12" s="104">
        <v>125350</v>
      </c>
      <c r="BO12" s="104">
        <v>111871</v>
      </c>
      <c r="BP12" s="104">
        <v>80703</v>
      </c>
      <c r="BQ12" s="104">
        <v>58493</v>
      </c>
      <c r="BR12" s="104">
        <v>61547</v>
      </c>
      <c r="BS12" s="104">
        <v>70494</v>
      </c>
      <c r="BT12" s="104">
        <v>63953</v>
      </c>
      <c r="BU12" s="104">
        <v>60686</v>
      </c>
      <c r="BV12" s="104">
        <v>66714</v>
      </c>
      <c r="BW12" s="104">
        <v>77836</v>
      </c>
      <c r="BX12" s="104">
        <v>73121</v>
      </c>
      <c r="BY12" s="104">
        <v>87497</v>
      </c>
      <c r="BZ12" s="104">
        <v>79777</v>
      </c>
      <c r="CA12" s="104">
        <v>74477</v>
      </c>
      <c r="CB12" s="104">
        <v>67491</v>
      </c>
      <c r="CC12" s="104">
        <v>62895</v>
      </c>
      <c r="CD12" s="104">
        <v>55454</v>
      </c>
      <c r="CE12" s="104">
        <v>69822</v>
      </c>
      <c r="CF12" s="104">
        <v>67260</v>
      </c>
      <c r="CG12" s="104">
        <v>64675</v>
      </c>
      <c r="CH12" s="104">
        <v>64997</v>
      </c>
      <c r="CI12" s="104">
        <v>82865</v>
      </c>
      <c r="CJ12" s="104">
        <v>66619</v>
      </c>
      <c r="CK12" s="105">
        <v>65324</v>
      </c>
    </row>
    <row r="13" spans="1:89">
      <c r="A13" s="78" t="str">
        <f t="shared" si="5"/>
        <v xml:space="preserve"> V3X2</v>
      </c>
      <c r="B13" s="96" t="s">
        <v>215</v>
      </c>
      <c r="C13" s="97" t="s">
        <v>226</v>
      </c>
      <c r="D13" s="98" t="s">
        <v>227</v>
      </c>
      <c r="E13" s="97" t="s">
        <v>228</v>
      </c>
      <c r="F13" s="98">
        <v>117.14</v>
      </c>
      <c r="G13" s="99">
        <v>8.9375234159999994</v>
      </c>
      <c r="H13" s="99">
        <v>8.3246400000000005</v>
      </c>
      <c r="I13" s="99">
        <v>8.2361710000000006</v>
      </c>
      <c r="J13" s="99">
        <v>6.394069</v>
      </c>
      <c r="K13" s="99">
        <v>7.7516611659999999</v>
      </c>
      <c r="L13" s="99">
        <v>865.05600000000004</v>
      </c>
      <c r="M13" s="99">
        <v>832.46400000000006</v>
      </c>
      <c r="N13" s="99">
        <v>786.66</v>
      </c>
      <c r="O13" s="99">
        <v>581.279</v>
      </c>
      <c r="P13" s="99">
        <v>665.23699999999997</v>
      </c>
      <c r="Q13" s="99"/>
      <c r="R13" s="99">
        <v>7222300</v>
      </c>
      <c r="S13" s="99">
        <v>6338900</v>
      </c>
      <c r="T13" s="99">
        <v>6818100</v>
      </c>
      <c r="U13" s="99">
        <v>7786300</v>
      </c>
      <c r="V13" s="99">
        <v>6793800</v>
      </c>
      <c r="W13" s="99">
        <v>6749500</v>
      </c>
      <c r="X13" s="99">
        <v>8159360</v>
      </c>
      <c r="Y13" s="99">
        <v>6590760</v>
      </c>
      <c r="Z13" s="99">
        <v>6938690</v>
      </c>
      <c r="AA13" s="99">
        <v>5927570</v>
      </c>
      <c r="AB13" s="99">
        <v>6614960</v>
      </c>
      <c r="AC13" s="99">
        <v>6421470</v>
      </c>
      <c r="AD13" s="99">
        <v>7158910</v>
      </c>
      <c r="AE13" s="99">
        <v>7149780</v>
      </c>
      <c r="AF13" s="99">
        <v>4779390</v>
      </c>
      <c r="AG13" s="99">
        <v>3546070</v>
      </c>
      <c r="AH13" s="99">
        <v>3964840</v>
      </c>
      <c r="AI13" s="99">
        <v>5220380</v>
      </c>
      <c r="AJ13" s="99">
        <v>5126330</v>
      </c>
      <c r="AK13" s="99">
        <v>5030300</v>
      </c>
      <c r="AL13" s="99">
        <v>5173630</v>
      </c>
      <c r="AM13" s="99">
        <v>5147230</v>
      </c>
      <c r="AN13" s="99">
        <v>5292980</v>
      </c>
      <c r="AO13" s="99">
        <v>6350850</v>
      </c>
      <c r="AP13" s="99">
        <v>6304980</v>
      </c>
      <c r="AQ13" s="99">
        <v>6652146.3200000003</v>
      </c>
      <c r="AR13" s="99">
        <v>7400670.9199999999</v>
      </c>
      <c r="AS13" s="99">
        <v>7217815.3799999999</v>
      </c>
      <c r="AT13" s="99">
        <v>5598120.5999999996</v>
      </c>
      <c r="AU13" s="99">
        <v>6044189.7199999997</v>
      </c>
      <c r="AV13" s="99">
        <v>6243327.7199999997</v>
      </c>
      <c r="AW13" s="99">
        <v>6273198.4199999999</v>
      </c>
      <c r="AX13" s="99">
        <v>6037512.7400000002</v>
      </c>
      <c r="AY13" s="99">
        <v>6308808.9800000004</v>
      </c>
      <c r="AZ13" s="99">
        <v>6366324.7199999997</v>
      </c>
      <c r="BA13" s="99">
        <v>7069516.1399999997</v>
      </c>
      <c r="BB13" s="99">
        <v>72223</v>
      </c>
      <c r="BC13" s="99">
        <v>63389</v>
      </c>
      <c r="BD13" s="99">
        <v>68181</v>
      </c>
      <c r="BE13" s="99">
        <v>77863</v>
      </c>
      <c r="BF13" s="99">
        <v>67938</v>
      </c>
      <c r="BG13" s="99">
        <v>67495</v>
      </c>
      <c r="BH13" s="99">
        <v>74176</v>
      </c>
      <c r="BI13" s="99">
        <v>59916</v>
      </c>
      <c r="BJ13" s="99">
        <v>63079</v>
      </c>
      <c r="BK13" s="99">
        <v>53887</v>
      </c>
      <c r="BL13" s="99">
        <v>60136</v>
      </c>
      <c r="BM13" s="99">
        <v>58377</v>
      </c>
      <c r="BN13" s="99">
        <v>65081</v>
      </c>
      <c r="BO13" s="99">
        <v>64998</v>
      </c>
      <c r="BP13" s="99">
        <v>43449</v>
      </c>
      <c r="BQ13" s="99">
        <v>32237</v>
      </c>
      <c r="BR13" s="99">
        <v>36044</v>
      </c>
      <c r="BS13" s="99">
        <v>47458</v>
      </c>
      <c r="BT13" s="99">
        <v>46603</v>
      </c>
      <c r="BU13" s="99">
        <v>45730</v>
      </c>
      <c r="BV13" s="99">
        <v>47033</v>
      </c>
      <c r="BW13" s="99">
        <v>46793</v>
      </c>
      <c r="BX13" s="99">
        <v>48118</v>
      </c>
      <c r="BY13" s="99">
        <v>57735</v>
      </c>
      <c r="BZ13" s="99">
        <v>57318</v>
      </c>
      <c r="CA13" s="99">
        <v>56788</v>
      </c>
      <c r="CB13" s="99">
        <v>63178</v>
      </c>
      <c r="CC13" s="99">
        <v>61617</v>
      </c>
      <c r="CD13" s="99">
        <v>47790</v>
      </c>
      <c r="CE13" s="99">
        <v>51598</v>
      </c>
      <c r="CF13" s="99">
        <v>53298</v>
      </c>
      <c r="CG13" s="99">
        <v>53553</v>
      </c>
      <c r="CH13" s="99">
        <v>51541</v>
      </c>
      <c r="CI13" s="99">
        <v>53857</v>
      </c>
      <c r="CJ13" s="99">
        <v>54348</v>
      </c>
      <c r="CK13" s="100">
        <v>60351</v>
      </c>
    </row>
    <row r="14" spans="1:89">
      <c r="A14" s="78" t="str">
        <f t="shared" si="5"/>
        <v xml:space="preserve"> V3X2</v>
      </c>
      <c r="B14" s="101" t="s">
        <v>215</v>
      </c>
      <c r="C14" s="102" t="s">
        <v>229</v>
      </c>
      <c r="D14" s="103" t="s">
        <v>230</v>
      </c>
      <c r="E14" s="102" t="s">
        <v>231</v>
      </c>
      <c r="F14" s="103">
        <v>1359.6</v>
      </c>
      <c r="G14" s="104">
        <v>1.7859071419999999</v>
      </c>
      <c r="H14" s="104">
        <v>3.8063684919999998</v>
      </c>
      <c r="I14" s="104">
        <v>4.7201855579999998</v>
      </c>
      <c r="J14" s="104">
        <v>6.33752724</v>
      </c>
      <c r="K14" s="104">
        <v>7.3298755199999999</v>
      </c>
      <c r="L14" s="104">
        <v>14.996</v>
      </c>
      <c r="M14" s="104">
        <v>30.277999999999999</v>
      </c>
      <c r="N14" s="104">
        <v>36.165999999999997</v>
      </c>
      <c r="O14" s="104">
        <v>47.273000000000003</v>
      </c>
      <c r="P14" s="104">
        <v>53.911999999999999</v>
      </c>
      <c r="Q14" s="104"/>
      <c r="R14" s="104">
        <v>3625591.76</v>
      </c>
      <c r="S14" s="104">
        <v>3518734.86</v>
      </c>
      <c r="T14" s="104">
        <v>3600448.96</v>
      </c>
      <c r="U14" s="104">
        <v>4478760</v>
      </c>
      <c r="V14" s="104">
        <v>4274160</v>
      </c>
      <c r="W14" s="104">
        <v>4365240</v>
      </c>
      <c r="X14" s="104">
        <v>3986400</v>
      </c>
      <c r="Y14" s="104">
        <v>3486120</v>
      </c>
      <c r="Z14" s="104">
        <v>3462360</v>
      </c>
      <c r="AA14" s="104">
        <v>3626040</v>
      </c>
      <c r="AB14" s="104">
        <v>3891360</v>
      </c>
      <c r="AC14" s="104">
        <v>4886640</v>
      </c>
      <c r="AD14" s="104">
        <v>5109720</v>
      </c>
      <c r="AE14" s="104">
        <v>5252280</v>
      </c>
      <c r="AF14" s="104">
        <v>5228520</v>
      </c>
      <c r="AG14" s="104">
        <v>4778400</v>
      </c>
      <c r="AH14" s="104">
        <v>4650360</v>
      </c>
      <c r="AI14" s="104">
        <v>4884000</v>
      </c>
      <c r="AJ14" s="104">
        <v>5808211.2000000002</v>
      </c>
      <c r="AK14" s="104">
        <v>4486680</v>
      </c>
      <c r="AL14" s="104">
        <v>5286124.8</v>
      </c>
      <c r="AM14" s="104">
        <v>5949609.5999999996</v>
      </c>
      <c r="AN14" s="104">
        <v>5590675.2000000002</v>
      </c>
      <c r="AO14" s="104">
        <v>6350691.5999999996</v>
      </c>
      <c r="AP14" s="104">
        <v>5753827.2000000002</v>
      </c>
      <c r="AQ14" s="104">
        <v>5785098</v>
      </c>
      <c r="AR14" s="104">
        <v>6561429.5999999996</v>
      </c>
      <c r="AS14" s="104">
        <v>5781019.2000000002</v>
      </c>
      <c r="AT14" s="104">
        <v>5500941.5999999996</v>
      </c>
      <c r="AU14" s="104">
        <v>4810264.8</v>
      </c>
      <c r="AV14" s="104">
        <v>4738206</v>
      </c>
      <c r="AW14" s="104">
        <v>5095780.8</v>
      </c>
      <c r="AX14" s="104">
        <v>5862595.2000000002</v>
      </c>
      <c r="AY14" s="104">
        <v>6789842.4000000004</v>
      </c>
      <c r="AZ14" s="104">
        <v>7918310.4000000004</v>
      </c>
      <c r="BA14" s="104">
        <v>8701440</v>
      </c>
      <c r="BB14" s="104">
        <v>2884</v>
      </c>
      <c r="BC14" s="104">
        <v>2799</v>
      </c>
      <c r="BD14" s="104">
        <v>2864</v>
      </c>
      <c r="BE14" s="104">
        <v>3393</v>
      </c>
      <c r="BF14" s="104">
        <v>3238</v>
      </c>
      <c r="BG14" s="104">
        <v>3307</v>
      </c>
      <c r="BH14" s="104">
        <v>3020</v>
      </c>
      <c r="BI14" s="104">
        <v>2641</v>
      </c>
      <c r="BJ14" s="104">
        <v>2623</v>
      </c>
      <c r="BK14" s="104">
        <v>2747</v>
      </c>
      <c r="BL14" s="104">
        <v>2948</v>
      </c>
      <c r="BM14" s="104">
        <v>3702</v>
      </c>
      <c r="BN14" s="104">
        <v>3871</v>
      </c>
      <c r="BO14" s="104">
        <v>3979</v>
      </c>
      <c r="BP14" s="104">
        <v>3961</v>
      </c>
      <c r="BQ14" s="104">
        <v>3620</v>
      </c>
      <c r="BR14" s="104">
        <v>3523</v>
      </c>
      <c r="BS14" s="104">
        <v>3700</v>
      </c>
      <c r="BT14" s="104">
        <v>4272</v>
      </c>
      <c r="BU14" s="104">
        <v>3300</v>
      </c>
      <c r="BV14" s="104">
        <v>3888</v>
      </c>
      <c r="BW14" s="104">
        <v>4376</v>
      </c>
      <c r="BX14" s="104">
        <v>4112</v>
      </c>
      <c r="BY14" s="104">
        <v>4671</v>
      </c>
      <c r="BZ14" s="104">
        <v>4232</v>
      </c>
      <c r="CA14" s="104">
        <v>4255</v>
      </c>
      <c r="CB14" s="104">
        <v>4826</v>
      </c>
      <c r="CC14" s="104">
        <v>4252</v>
      </c>
      <c r="CD14" s="104">
        <v>4046</v>
      </c>
      <c r="CE14" s="104">
        <v>3538</v>
      </c>
      <c r="CF14" s="104">
        <v>3485</v>
      </c>
      <c r="CG14" s="104">
        <v>3748</v>
      </c>
      <c r="CH14" s="104">
        <v>4312</v>
      </c>
      <c r="CI14" s="104">
        <v>4994</v>
      </c>
      <c r="CJ14" s="104">
        <v>5824</v>
      </c>
      <c r="CK14" s="105">
        <v>6400</v>
      </c>
    </row>
    <row r="15" spans="1:89">
      <c r="A15" s="78" t="str">
        <f t="shared" si="5"/>
        <v xml:space="preserve"> V3X2</v>
      </c>
      <c r="B15" s="96" t="s">
        <v>215</v>
      </c>
      <c r="C15" s="97" t="s">
        <v>232</v>
      </c>
      <c r="D15" s="98" t="s">
        <v>217</v>
      </c>
      <c r="E15" s="97" t="s">
        <v>233</v>
      </c>
      <c r="F15" s="98">
        <v>99.69</v>
      </c>
      <c r="G15" s="99">
        <v>8.9340505960000005</v>
      </c>
      <c r="H15" s="99">
        <v>8.9604239999999997</v>
      </c>
      <c r="I15" s="99">
        <v>8.5660265730000003</v>
      </c>
      <c r="J15" s="99">
        <v>8.0282691820000007</v>
      </c>
      <c r="K15" s="99">
        <v>7.1490788070000004</v>
      </c>
      <c r="L15" s="99">
        <v>1094.8810000000001</v>
      </c>
      <c r="M15" s="99">
        <v>1086.1120000000001</v>
      </c>
      <c r="N15" s="99">
        <v>996.86099999999999</v>
      </c>
      <c r="O15" s="99">
        <v>865.02200000000005</v>
      </c>
      <c r="P15" s="99">
        <v>735.43100000000004</v>
      </c>
      <c r="Q15" s="99"/>
      <c r="R15" s="99">
        <v>7738769.8700000001</v>
      </c>
      <c r="S15" s="99">
        <v>7317798.7999999998</v>
      </c>
      <c r="T15" s="99">
        <v>7047548.9500000002</v>
      </c>
      <c r="U15" s="99">
        <v>7691852.0899999999</v>
      </c>
      <c r="V15" s="99">
        <v>7252749.79</v>
      </c>
      <c r="W15" s="99">
        <v>7867235.2199999997</v>
      </c>
      <c r="X15" s="99">
        <v>6652958.3899999997</v>
      </c>
      <c r="Y15" s="99">
        <v>6434524.3300000001</v>
      </c>
      <c r="Z15" s="99">
        <v>6328057.0599999996</v>
      </c>
      <c r="AA15" s="99">
        <v>7365060.2999999998</v>
      </c>
      <c r="AB15" s="99">
        <v>7567253.5899999999</v>
      </c>
      <c r="AC15" s="99">
        <v>6396457.3399999999</v>
      </c>
      <c r="AD15" s="99">
        <v>7698311.0700000003</v>
      </c>
      <c r="AE15" s="99">
        <v>7884487.9299999997</v>
      </c>
      <c r="AF15" s="99">
        <v>6227736.6200000001</v>
      </c>
      <c r="AG15" s="99">
        <v>4205313.91</v>
      </c>
      <c r="AH15" s="99">
        <v>5070303.1100000003</v>
      </c>
      <c r="AI15" s="99">
        <v>6114137.1799999997</v>
      </c>
      <c r="AJ15" s="99">
        <v>6288619.9800000004</v>
      </c>
      <c r="AK15" s="99">
        <v>7262382.5</v>
      </c>
      <c r="AL15" s="99">
        <v>7790100.1600000001</v>
      </c>
      <c r="AM15" s="99">
        <v>7771723.7800000003</v>
      </c>
      <c r="AN15" s="99">
        <v>6888451.0099999998</v>
      </c>
      <c r="AO15" s="99">
        <v>7081124.5700000003</v>
      </c>
      <c r="AP15" s="99">
        <v>6911653.5099999998</v>
      </c>
      <c r="AQ15" s="99">
        <v>6265788.7199999997</v>
      </c>
      <c r="AR15" s="99">
        <v>5634773.5300000003</v>
      </c>
      <c r="AS15" s="99">
        <v>5797655.0800000001</v>
      </c>
      <c r="AT15" s="99">
        <v>5384456.2800000003</v>
      </c>
      <c r="AU15" s="99">
        <v>6283460.7000000002</v>
      </c>
      <c r="AV15" s="99">
        <v>5933648.4900000002</v>
      </c>
      <c r="AW15" s="99">
        <v>5865759.5999999996</v>
      </c>
      <c r="AX15" s="99">
        <v>5696884.7400000002</v>
      </c>
      <c r="AY15" s="99">
        <v>5951592.6900000004</v>
      </c>
      <c r="AZ15" s="99">
        <v>4933259.34</v>
      </c>
      <c r="BA15" s="99">
        <v>6831855.3899999997</v>
      </c>
      <c r="BB15" s="99">
        <v>90059</v>
      </c>
      <c r="BC15" s="99">
        <v>85160</v>
      </c>
      <c r="BD15" s="99">
        <v>82015</v>
      </c>
      <c r="BE15" s="99">
        <v>89513</v>
      </c>
      <c r="BF15" s="99">
        <v>84403</v>
      </c>
      <c r="BG15" s="99">
        <v>91554</v>
      </c>
      <c r="BH15" s="99">
        <v>77423</v>
      </c>
      <c r="BI15" s="99">
        <v>74881</v>
      </c>
      <c r="BJ15" s="99">
        <v>73642</v>
      </c>
      <c r="BK15" s="99">
        <v>85710</v>
      </c>
      <c r="BL15" s="99">
        <v>88063</v>
      </c>
      <c r="BM15" s="99">
        <v>74438</v>
      </c>
      <c r="BN15" s="99">
        <v>82947</v>
      </c>
      <c r="BO15" s="99">
        <v>84953</v>
      </c>
      <c r="BP15" s="99">
        <v>67102</v>
      </c>
      <c r="BQ15" s="99">
        <v>45311</v>
      </c>
      <c r="BR15" s="99">
        <v>54631</v>
      </c>
      <c r="BS15" s="99">
        <v>65878</v>
      </c>
      <c r="BT15" s="99">
        <v>67758</v>
      </c>
      <c r="BU15" s="99">
        <v>78250</v>
      </c>
      <c r="BV15" s="99">
        <v>83936</v>
      </c>
      <c r="BW15" s="99">
        <v>83738</v>
      </c>
      <c r="BX15" s="99">
        <v>74221</v>
      </c>
      <c r="BY15" s="99">
        <v>76297</v>
      </c>
      <c r="BZ15" s="99">
        <v>74471</v>
      </c>
      <c r="CA15" s="99">
        <v>67512</v>
      </c>
      <c r="CB15" s="99">
        <v>60713</v>
      </c>
      <c r="CC15" s="99">
        <v>62468</v>
      </c>
      <c r="CD15" s="99">
        <v>54012</v>
      </c>
      <c r="CE15" s="99">
        <v>63030</v>
      </c>
      <c r="CF15" s="99">
        <v>59521</v>
      </c>
      <c r="CG15" s="99">
        <v>58840</v>
      </c>
      <c r="CH15" s="99">
        <v>57146</v>
      </c>
      <c r="CI15" s="99">
        <v>59701</v>
      </c>
      <c r="CJ15" s="99">
        <v>49486</v>
      </c>
      <c r="CK15" s="100">
        <v>68531</v>
      </c>
    </row>
    <row r="16" spans="1:89">
      <c r="A16" s="78" t="str">
        <f t="shared" si="5"/>
        <v xml:space="preserve"> V3X2</v>
      </c>
      <c r="B16" s="101" t="s">
        <v>215</v>
      </c>
      <c r="C16" s="102" t="s">
        <v>234</v>
      </c>
      <c r="D16" s="103" t="s">
        <v>235</v>
      </c>
      <c r="E16" s="102" t="s">
        <v>236</v>
      </c>
      <c r="F16" s="103">
        <v>508.47</v>
      </c>
      <c r="G16" s="104">
        <v>5.1178064430000001</v>
      </c>
      <c r="H16" s="104">
        <v>5.903437416</v>
      </c>
      <c r="I16" s="104">
        <v>6.2090489959999999</v>
      </c>
      <c r="J16" s="104">
        <v>4.4764274400000001</v>
      </c>
      <c r="K16" s="104">
        <v>7.0084846389999997</v>
      </c>
      <c r="L16" s="104">
        <v>127.128</v>
      </c>
      <c r="M16" s="104">
        <v>133.96199999999999</v>
      </c>
      <c r="N16" s="104">
        <v>140.89699999999999</v>
      </c>
      <c r="O16" s="104">
        <v>101.58</v>
      </c>
      <c r="P16" s="104">
        <v>139.02199999999999</v>
      </c>
      <c r="Q16" s="104"/>
      <c r="R16" s="104">
        <v>5875586.4400000004</v>
      </c>
      <c r="S16" s="104">
        <v>5051514.84</v>
      </c>
      <c r="T16" s="104">
        <v>6255452.5999999996</v>
      </c>
      <c r="U16" s="104">
        <v>5935078.2400000002</v>
      </c>
      <c r="V16" s="104">
        <v>5879993.2400000002</v>
      </c>
      <c r="W16" s="104">
        <v>5136566.08</v>
      </c>
      <c r="X16" s="104">
        <v>4550461.68</v>
      </c>
      <c r="Y16" s="104">
        <v>4709987.84</v>
      </c>
      <c r="Z16" s="104">
        <v>4553546.4400000004</v>
      </c>
      <c r="AA16" s="104">
        <v>4154731.04</v>
      </c>
      <c r="AB16" s="104">
        <v>4726293</v>
      </c>
      <c r="AC16" s="104">
        <v>5261278.5199999996</v>
      </c>
      <c r="AD16" s="104">
        <v>5548601.8799999999</v>
      </c>
      <c r="AE16" s="104">
        <v>3877984</v>
      </c>
      <c r="AF16" s="104">
        <v>3385303.76</v>
      </c>
      <c r="AG16" s="104">
        <v>2239095.08</v>
      </c>
      <c r="AH16" s="104">
        <v>2712385.4</v>
      </c>
      <c r="AI16" s="104">
        <v>4234934.8</v>
      </c>
      <c r="AJ16" s="104">
        <v>3562897.8</v>
      </c>
      <c r="AK16" s="104">
        <v>4019001.6</v>
      </c>
      <c r="AL16" s="104">
        <v>3284388.04</v>
      </c>
      <c r="AM16" s="104">
        <v>3796898.88</v>
      </c>
      <c r="AN16" s="104">
        <v>3682322.08</v>
      </c>
      <c r="AO16" s="104">
        <v>4420461.08</v>
      </c>
      <c r="AP16" s="104">
        <v>3924255.4</v>
      </c>
      <c r="AQ16" s="104">
        <v>5960793.8099999996</v>
      </c>
      <c r="AR16" s="104">
        <v>5964861.5700000003</v>
      </c>
      <c r="AS16" s="104">
        <v>5625712.0800000001</v>
      </c>
      <c r="AT16" s="104">
        <v>4475552.9400000004</v>
      </c>
      <c r="AU16" s="104">
        <v>4971819.66</v>
      </c>
      <c r="AV16" s="104">
        <v>5371985.5499999998</v>
      </c>
      <c r="AW16" s="104">
        <v>5848930.4100000001</v>
      </c>
      <c r="AX16" s="104">
        <v>6052318.4100000001</v>
      </c>
      <c r="AY16" s="104">
        <v>6440281.0199999996</v>
      </c>
      <c r="AZ16" s="104">
        <v>6966547.4699999997</v>
      </c>
      <c r="BA16" s="104">
        <v>8481788.0700000003</v>
      </c>
      <c r="BB16" s="104">
        <v>13333</v>
      </c>
      <c r="BC16" s="104">
        <v>11463</v>
      </c>
      <c r="BD16" s="104">
        <v>14195</v>
      </c>
      <c r="BE16" s="104">
        <v>13468</v>
      </c>
      <c r="BF16" s="104">
        <v>13343</v>
      </c>
      <c r="BG16" s="104">
        <v>11656</v>
      </c>
      <c r="BH16" s="104">
        <v>10326</v>
      </c>
      <c r="BI16" s="104">
        <v>10688</v>
      </c>
      <c r="BJ16" s="104">
        <v>10333</v>
      </c>
      <c r="BK16" s="104">
        <v>9428</v>
      </c>
      <c r="BL16" s="104">
        <v>10725</v>
      </c>
      <c r="BM16" s="104">
        <v>11939</v>
      </c>
      <c r="BN16" s="104">
        <v>12591</v>
      </c>
      <c r="BO16" s="104">
        <v>8800</v>
      </c>
      <c r="BP16" s="104">
        <v>7682</v>
      </c>
      <c r="BQ16" s="104">
        <v>5081</v>
      </c>
      <c r="BR16" s="104">
        <v>6155</v>
      </c>
      <c r="BS16" s="104">
        <v>9610</v>
      </c>
      <c r="BT16" s="104">
        <v>8085</v>
      </c>
      <c r="BU16" s="104">
        <v>9120</v>
      </c>
      <c r="BV16" s="104">
        <v>7453</v>
      </c>
      <c r="BW16" s="104">
        <v>8616</v>
      </c>
      <c r="BX16" s="104">
        <v>8356</v>
      </c>
      <c r="BY16" s="104">
        <v>10031</v>
      </c>
      <c r="BZ16" s="104">
        <v>8905</v>
      </c>
      <c r="CA16" s="104">
        <v>11723</v>
      </c>
      <c r="CB16" s="104">
        <v>11731</v>
      </c>
      <c r="CC16" s="104">
        <v>11064</v>
      </c>
      <c r="CD16" s="104">
        <v>8802</v>
      </c>
      <c r="CE16" s="104">
        <v>9778</v>
      </c>
      <c r="CF16" s="104">
        <v>10565</v>
      </c>
      <c r="CG16" s="104">
        <v>11503</v>
      </c>
      <c r="CH16" s="104">
        <v>11903</v>
      </c>
      <c r="CI16" s="104">
        <v>12666</v>
      </c>
      <c r="CJ16" s="104">
        <v>13701</v>
      </c>
      <c r="CK16" s="105">
        <v>16681</v>
      </c>
    </row>
    <row r="17" spans="1:89">
      <c r="A17" s="78" t="str">
        <f t="shared" si="5"/>
        <v xml:space="preserve"> V3X2</v>
      </c>
      <c r="B17" s="96" t="s">
        <v>215</v>
      </c>
      <c r="C17" s="97" t="s">
        <v>237</v>
      </c>
      <c r="D17" s="98" t="s">
        <v>238</v>
      </c>
      <c r="E17" s="97" t="s">
        <v>239</v>
      </c>
      <c r="F17" s="98">
        <v>375</v>
      </c>
      <c r="G17" s="99">
        <v>5.6440445280000002</v>
      </c>
      <c r="H17" s="99">
        <v>5.5517662799999998</v>
      </c>
      <c r="I17" s="99">
        <v>5.3500678949999996</v>
      </c>
      <c r="J17" s="99">
        <v>5.3306099099999997</v>
      </c>
      <c r="K17" s="99">
        <v>6.2840625000000001</v>
      </c>
      <c r="L17" s="99">
        <v>197.68600000000001</v>
      </c>
      <c r="M17" s="99">
        <v>178.68</v>
      </c>
      <c r="N17" s="99">
        <v>158.12100000000001</v>
      </c>
      <c r="O17" s="99">
        <v>143.43600000000001</v>
      </c>
      <c r="P17" s="99">
        <v>167.57499999999999</v>
      </c>
      <c r="Q17" s="99"/>
      <c r="R17" s="99">
        <v>4921335.6900000004</v>
      </c>
      <c r="S17" s="99">
        <v>5233439.04</v>
      </c>
      <c r="T17" s="99">
        <v>4804602.96</v>
      </c>
      <c r="U17" s="99">
        <v>4441662.87</v>
      </c>
      <c r="V17" s="99">
        <v>4946637.84</v>
      </c>
      <c r="W17" s="99">
        <v>3621206.58</v>
      </c>
      <c r="X17" s="99">
        <v>3985853.82</v>
      </c>
      <c r="Y17" s="99">
        <v>3870109.05</v>
      </c>
      <c r="Z17" s="99">
        <v>4199589</v>
      </c>
      <c r="AA17" s="99">
        <v>3916202.1</v>
      </c>
      <c r="AB17" s="99">
        <v>4778654.28</v>
      </c>
      <c r="AC17" s="99">
        <v>4781385.72</v>
      </c>
      <c r="AD17" s="99">
        <v>4906349.0999999996</v>
      </c>
      <c r="AE17" s="99">
        <v>4208250</v>
      </c>
      <c r="AF17" s="99">
        <v>3529125</v>
      </c>
      <c r="AG17" s="99">
        <v>2508375</v>
      </c>
      <c r="AH17" s="99">
        <v>3630750</v>
      </c>
      <c r="AI17" s="99">
        <v>4341375</v>
      </c>
      <c r="AJ17" s="99">
        <v>4280625</v>
      </c>
      <c r="AK17" s="99">
        <v>4537875</v>
      </c>
      <c r="AL17" s="99">
        <v>4610625</v>
      </c>
      <c r="AM17" s="99">
        <v>5217000</v>
      </c>
      <c r="AN17" s="99">
        <v>5371125</v>
      </c>
      <c r="AO17" s="99">
        <v>6164625</v>
      </c>
      <c r="AP17" s="99">
        <v>7264500</v>
      </c>
      <c r="AQ17" s="99">
        <v>7221750</v>
      </c>
      <c r="AR17" s="99">
        <v>7165875</v>
      </c>
      <c r="AS17" s="99">
        <v>4787250</v>
      </c>
      <c r="AT17" s="99">
        <v>4168500</v>
      </c>
      <c r="AU17" s="99">
        <v>4416750</v>
      </c>
      <c r="AV17" s="99">
        <v>4813125</v>
      </c>
      <c r="AW17" s="99">
        <v>4403625</v>
      </c>
      <c r="AX17" s="99">
        <v>4336500</v>
      </c>
      <c r="AY17" s="99">
        <v>4364250</v>
      </c>
      <c r="AZ17" s="99">
        <v>4184250</v>
      </c>
      <c r="BA17" s="99">
        <v>5714250</v>
      </c>
      <c r="BB17" s="99">
        <v>15839</v>
      </c>
      <c r="BC17" s="99">
        <v>15328</v>
      </c>
      <c r="BD17" s="99">
        <v>14072</v>
      </c>
      <c r="BE17" s="99">
        <v>13009</v>
      </c>
      <c r="BF17" s="99">
        <v>14488</v>
      </c>
      <c r="BG17" s="99">
        <v>10606</v>
      </c>
      <c r="BH17" s="99">
        <v>11674</v>
      </c>
      <c r="BI17" s="99">
        <v>11335</v>
      </c>
      <c r="BJ17" s="99">
        <v>12300</v>
      </c>
      <c r="BK17" s="99">
        <v>11470</v>
      </c>
      <c r="BL17" s="99">
        <v>13996</v>
      </c>
      <c r="BM17" s="99">
        <v>14004</v>
      </c>
      <c r="BN17" s="99">
        <v>14370</v>
      </c>
      <c r="BO17" s="99">
        <v>11222</v>
      </c>
      <c r="BP17" s="99">
        <v>9411</v>
      </c>
      <c r="BQ17" s="99">
        <v>6689</v>
      </c>
      <c r="BR17" s="99">
        <v>9682</v>
      </c>
      <c r="BS17" s="99">
        <v>11577</v>
      </c>
      <c r="BT17" s="99">
        <v>11415</v>
      </c>
      <c r="BU17" s="99">
        <v>12101</v>
      </c>
      <c r="BV17" s="99">
        <v>12295</v>
      </c>
      <c r="BW17" s="99">
        <v>13912</v>
      </c>
      <c r="BX17" s="99">
        <v>14323</v>
      </c>
      <c r="BY17" s="99">
        <v>16439</v>
      </c>
      <c r="BZ17" s="99">
        <v>19372</v>
      </c>
      <c r="CA17" s="99">
        <v>19258</v>
      </c>
      <c r="CB17" s="99">
        <v>19109</v>
      </c>
      <c r="CC17" s="99">
        <v>12766</v>
      </c>
      <c r="CD17" s="99">
        <v>11116</v>
      </c>
      <c r="CE17" s="99">
        <v>11778</v>
      </c>
      <c r="CF17" s="99">
        <v>12835</v>
      </c>
      <c r="CG17" s="99">
        <v>11743</v>
      </c>
      <c r="CH17" s="99">
        <v>11564</v>
      </c>
      <c r="CI17" s="99">
        <v>11638</v>
      </c>
      <c r="CJ17" s="99">
        <v>11158</v>
      </c>
      <c r="CK17" s="100">
        <v>15238</v>
      </c>
    </row>
    <row r="18" spans="1:89">
      <c r="A18" s="78" t="str">
        <f t="shared" si="5"/>
        <v xml:space="preserve"> V3X2</v>
      </c>
      <c r="B18" s="101" t="s">
        <v>215</v>
      </c>
      <c r="C18" s="102" t="s">
        <v>240</v>
      </c>
      <c r="D18" s="103" t="s">
        <v>241</v>
      </c>
      <c r="E18" s="102" t="s">
        <v>242</v>
      </c>
      <c r="F18" s="103">
        <v>62.24</v>
      </c>
      <c r="G18" s="104">
        <v>0</v>
      </c>
      <c r="H18" s="104">
        <v>1.5142288699999999</v>
      </c>
      <c r="I18" s="104">
        <v>5.6595107799999997</v>
      </c>
      <c r="J18" s="104">
        <v>5.6511347199999999</v>
      </c>
      <c r="K18" s="104">
        <v>6.0488706429999999</v>
      </c>
      <c r="L18" s="104">
        <v>0</v>
      </c>
      <c r="M18" s="104">
        <v>280.93299999999999</v>
      </c>
      <c r="N18" s="104">
        <v>1050.002</v>
      </c>
      <c r="O18" s="104">
        <v>1048.4480000000001</v>
      </c>
      <c r="P18" s="104">
        <v>991.46699999999998</v>
      </c>
      <c r="Q18" s="104"/>
      <c r="R18" s="104">
        <v>4380021.8</v>
      </c>
      <c r="S18" s="104">
        <v>4065677</v>
      </c>
      <c r="T18" s="104">
        <v>4476071.5999999996</v>
      </c>
      <c r="U18" s="104">
        <v>4905169.5</v>
      </c>
      <c r="V18" s="104">
        <v>4647581.4000000004</v>
      </c>
      <c r="W18" s="104">
        <v>4101520.5</v>
      </c>
      <c r="X18" s="104">
        <v>4166038.8</v>
      </c>
      <c r="Y18" s="104">
        <v>4909319.8</v>
      </c>
      <c r="Z18" s="104">
        <v>5013131.2</v>
      </c>
      <c r="AA18" s="104">
        <v>4723796</v>
      </c>
      <c r="AB18" s="104">
        <v>5433820.7000000002</v>
      </c>
      <c r="AC18" s="104">
        <v>5772959.5</v>
      </c>
      <c r="AD18" s="104">
        <v>5735391.2000000002</v>
      </c>
      <c r="AE18" s="104">
        <v>7812805</v>
      </c>
      <c r="AF18" s="104">
        <v>5885664.4000000004</v>
      </c>
      <c r="AG18" s="104">
        <v>2602399.7999999998</v>
      </c>
      <c r="AH18" s="104">
        <v>3157785.4</v>
      </c>
      <c r="AI18" s="104">
        <v>4517736.3</v>
      </c>
      <c r="AJ18" s="104">
        <v>4064545.1</v>
      </c>
      <c r="AK18" s="104">
        <v>4517197.3</v>
      </c>
      <c r="AL18" s="104">
        <v>4672105.9000000004</v>
      </c>
      <c r="AM18" s="104">
        <v>4820223.0999999996</v>
      </c>
      <c r="AN18" s="104">
        <v>4108904.8</v>
      </c>
      <c r="AO18" s="104">
        <v>4616588.9000000004</v>
      </c>
      <c r="AP18" s="104">
        <v>6455495.2000000002</v>
      </c>
      <c r="AQ18" s="104">
        <v>6661705.8200000003</v>
      </c>
      <c r="AR18" s="104">
        <v>6421403.4500000002</v>
      </c>
      <c r="AS18" s="104">
        <v>4985340.3600000003</v>
      </c>
      <c r="AT18" s="104">
        <v>3714669.92</v>
      </c>
      <c r="AU18" s="104">
        <v>3950061.6</v>
      </c>
      <c r="AV18" s="104">
        <v>4610490.24</v>
      </c>
      <c r="AW18" s="104">
        <v>4319518.24</v>
      </c>
      <c r="AX18" s="104">
        <v>4826712</v>
      </c>
      <c r="AY18" s="104">
        <v>4836234.72</v>
      </c>
      <c r="AZ18" s="104">
        <v>4384372.32</v>
      </c>
      <c r="BA18" s="104">
        <v>5322702.5599999996</v>
      </c>
      <c r="BB18" s="104">
        <v>81262</v>
      </c>
      <c r="BC18" s="104">
        <v>75430</v>
      </c>
      <c r="BD18" s="104">
        <v>83044</v>
      </c>
      <c r="BE18" s="104">
        <v>91005</v>
      </c>
      <c r="BF18" s="104">
        <v>86226</v>
      </c>
      <c r="BG18" s="104">
        <v>76095</v>
      </c>
      <c r="BH18" s="104">
        <v>77292</v>
      </c>
      <c r="BI18" s="104">
        <v>91082</v>
      </c>
      <c r="BJ18" s="104">
        <v>93008</v>
      </c>
      <c r="BK18" s="104">
        <v>87640</v>
      </c>
      <c r="BL18" s="104">
        <v>100813</v>
      </c>
      <c r="BM18" s="104">
        <v>107105</v>
      </c>
      <c r="BN18" s="104">
        <v>106408</v>
      </c>
      <c r="BO18" s="104">
        <v>144950</v>
      </c>
      <c r="BP18" s="104">
        <v>109196</v>
      </c>
      <c r="BQ18" s="104">
        <v>48282</v>
      </c>
      <c r="BR18" s="104">
        <v>58586</v>
      </c>
      <c r="BS18" s="104">
        <v>83817</v>
      </c>
      <c r="BT18" s="104">
        <v>75409</v>
      </c>
      <c r="BU18" s="104">
        <v>83807</v>
      </c>
      <c r="BV18" s="104">
        <v>86681</v>
      </c>
      <c r="BW18" s="104">
        <v>89429</v>
      </c>
      <c r="BX18" s="104">
        <v>76232</v>
      </c>
      <c r="BY18" s="104">
        <v>85651</v>
      </c>
      <c r="BZ18" s="104">
        <v>108880</v>
      </c>
      <c r="CA18" s="104">
        <v>112358</v>
      </c>
      <c r="CB18" s="104">
        <v>108305</v>
      </c>
      <c r="CC18" s="104">
        <v>84084</v>
      </c>
      <c r="CD18" s="104">
        <v>59683</v>
      </c>
      <c r="CE18" s="104">
        <v>63465</v>
      </c>
      <c r="CF18" s="104">
        <v>74076</v>
      </c>
      <c r="CG18" s="104">
        <v>69401</v>
      </c>
      <c r="CH18" s="104">
        <v>77550</v>
      </c>
      <c r="CI18" s="104">
        <v>77703</v>
      </c>
      <c r="CJ18" s="104">
        <v>70443</v>
      </c>
      <c r="CK18" s="105">
        <v>85519</v>
      </c>
    </row>
    <row r="19" spans="1:89">
      <c r="A19" s="78" t="str">
        <f t="shared" si="5"/>
        <v xml:space="preserve"> V3X2</v>
      </c>
      <c r="B19" s="96" t="s">
        <v>215</v>
      </c>
      <c r="C19" s="97" t="s">
        <v>243</v>
      </c>
      <c r="D19" s="98" t="s">
        <v>222</v>
      </c>
      <c r="E19" s="97" t="s">
        <v>244</v>
      </c>
      <c r="F19" s="98">
        <v>91.43</v>
      </c>
      <c r="G19" s="99">
        <v>4.5704535499999999</v>
      </c>
      <c r="H19" s="99">
        <v>4.9037520280000004</v>
      </c>
      <c r="I19" s="99">
        <v>5.1904837109999997</v>
      </c>
      <c r="J19" s="99">
        <v>4.8801519979999997</v>
      </c>
      <c r="K19" s="99">
        <v>5.2528079180000002</v>
      </c>
      <c r="L19" s="99">
        <v>603.18499999999995</v>
      </c>
      <c r="M19" s="99">
        <v>625.20500000000004</v>
      </c>
      <c r="N19" s="99">
        <v>627.91499999999996</v>
      </c>
      <c r="O19" s="99">
        <v>574.18299999999999</v>
      </c>
      <c r="P19" s="99">
        <v>590.35299999999995</v>
      </c>
      <c r="Q19" s="99"/>
      <c r="R19" s="99">
        <v>5286800</v>
      </c>
      <c r="S19" s="99">
        <v>4567440</v>
      </c>
      <c r="T19" s="99">
        <v>4891200</v>
      </c>
      <c r="U19" s="99">
        <v>4315040</v>
      </c>
      <c r="V19" s="99">
        <v>4447899.01</v>
      </c>
      <c r="W19" s="99">
        <v>4286905.1100000003</v>
      </c>
      <c r="X19" s="99">
        <v>3917377.75</v>
      </c>
      <c r="Y19" s="99">
        <v>4517016.8099999996</v>
      </c>
      <c r="Z19" s="99">
        <v>4552165.74</v>
      </c>
      <c r="AA19" s="99">
        <v>4004027.87</v>
      </c>
      <c r="AB19" s="99">
        <v>3586960.95</v>
      </c>
      <c r="AC19" s="99">
        <v>3532003.87</v>
      </c>
      <c r="AD19" s="99">
        <v>3612079.37</v>
      </c>
      <c r="AE19" s="99">
        <v>4592624.9400000004</v>
      </c>
      <c r="AF19" s="99">
        <v>3200828.46</v>
      </c>
      <c r="AG19" s="99">
        <v>2308703.1</v>
      </c>
      <c r="AH19" s="99">
        <v>2926043.06</v>
      </c>
      <c r="AI19" s="99">
        <v>4096999.74</v>
      </c>
      <c r="AJ19" s="99">
        <v>4202783.6900000004</v>
      </c>
      <c r="AK19" s="99">
        <v>4275778.83</v>
      </c>
      <c r="AL19" s="99">
        <v>4386283.0199999996</v>
      </c>
      <c r="AM19" s="99">
        <v>5265680.59</v>
      </c>
      <c r="AN19" s="99">
        <v>4639008</v>
      </c>
      <c r="AO19" s="99">
        <v>5294707.18</v>
      </c>
      <c r="AP19" s="99">
        <v>5562768.04</v>
      </c>
      <c r="AQ19" s="99">
        <v>5079098.74</v>
      </c>
      <c r="AR19" s="99">
        <v>4682938</v>
      </c>
      <c r="AS19" s="99">
        <v>4057111.22</v>
      </c>
      <c r="AT19" s="99">
        <v>3814354.04</v>
      </c>
      <c r="AU19" s="99">
        <v>3854945.36</v>
      </c>
      <c r="AV19" s="99">
        <v>3900193.26</v>
      </c>
      <c r="AW19" s="99">
        <v>4682235.12</v>
      </c>
      <c r="AX19" s="99">
        <v>4317416.03</v>
      </c>
      <c r="AY19" s="99">
        <v>4222603.12</v>
      </c>
      <c r="AZ19" s="99">
        <v>3776424.72</v>
      </c>
      <c r="BA19" s="99">
        <v>4577991.53</v>
      </c>
      <c r="BB19" s="99">
        <v>66085</v>
      </c>
      <c r="BC19" s="99">
        <v>57093</v>
      </c>
      <c r="BD19" s="99">
        <v>61140</v>
      </c>
      <c r="BE19" s="99">
        <v>53938</v>
      </c>
      <c r="BF19" s="99">
        <v>52769</v>
      </c>
      <c r="BG19" s="99">
        <v>50859</v>
      </c>
      <c r="BH19" s="99">
        <v>46475</v>
      </c>
      <c r="BI19" s="99">
        <v>53589</v>
      </c>
      <c r="BJ19" s="99">
        <v>54006</v>
      </c>
      <c r="BK19" s="99">
        <v>47503</v>
      </c>
      <c r="BL19" s="99">
        <v>42555</v>
      </c>
      <c r="BM19" s="99">
        <v>41903</v>
      </c>
      <c r="BN19" s="99">
        <v>42853</v>
      </c>
      <c r="BO19" s="99">
        <v>54486</v>
      </c>
      <c r="BP19" s="99">
        <v>37974</v>
      </c>
      <c r="BQ19" s="99">
        <v>27390</v>
      </c>
      <c r="BR19" s="99">
        <v>34714</v>
      </c>
      <c r="BS19" s="99">
        <v>48606</v>
      </c>
      <c r="BT19" s="99">
        <v>49861</v>
      </c>
      <c r="BU19" s="99">
        <v>50727</v>
      </c>
      <c r="BV19" s="99">
        <v>52038</v>
      </c>
      <c r="BW19" s="99">
        <v>62471</v>
      </c>
      <c r="BX19" s="99">
        <v>52800</v>
      </c>
      <c r="BY19" s="99">
        <v>60263</v>
      </c>
      <c r="BZ19" s="99">
        <v>63314</v>
      </c>
      <c r="CA19" s="99">
        <v>57809</v>
      </c>
      <c r="CB19" s="99">
        <v>53300</v>
      </c>
      <c r="CC19" s="99">
        <v>46177</v>
      </c>
      <c r="CD19" s="99">
        <v>43414</v>
      </c>
      <c r="CE19" s="99">
        <v>43876</v>
      </c>
      <c r="CF19" s="99">
        <v>44391</v>
      </c>
      <c r="CG19" s="99">
        <v>53292</v>
      </c>
      <c r="CH19" s="99">
        <v>47221</v>
      </c>
      <c r="CI19" s="99">
        <v>46184</v>
      </c>
      <c r="CJ19" s="99">
        <v>41304</v>
      </c>
      <c r="CK19" s="100">
        <v>50071</v>
      </c>
    </row>
    <row r="20" spans="1:89">
      <c r="A20" s="78" t="str">
        <f t="shared" si="5"/>
        <v xml:space="preserve"> V3X2</v>
      </c>
      <c r="B20" s="101" t="s">
        <v>215</v>
      </c>
      <c r="C20" s="102" t="s">
        <v>245</v>
      </c>
      <c r="D20" s="103" t="s">
        <v>246</v>
      </c>
      <c r="E20" s="102" t="s">
        <v>247</v>
      </c>
      <c r="F20" s="103">
        <v>178.46</v>
      </c>
      <c r="G20" s="104">
        <v>0</v>
      </c>
      <c r="H20" s="104">
        <v>0</v>
      </c>
      <c r="I20" s="104">
        <v>1.579227935</v>
      </c>
      <c r="J20" s="104">
        <v>4.0179179639999996</v>
      </c>
      <c r="K20" s="104">
        <v>4.1960721349999996</v>
      </c>
      <c r="L20" s="104">
        <v>0</v>
      </c>
      <c r="M20" s="104">
        <v>0</v>
      </c>
      <c r="N20" s="104">
        <v>97.344999999999999</v>
      </c>
      <c r="O20" s="104">
        <v>247.66800000000001</v>
      </c>
      <c r="P20" s="104">
        <v>239.452</v>
      </c>
      <c r="Q20" s="104"/>
      <c r="R20" s="104">
        <v>0</v>
      </c>
      <c r="S20" s="104">
        <v>0</v>
      </c>
      <c r="T20" s="104">
        <v>0</v>
      </c>
      <c r="U20" s="104">
        <v>0</v>
      </c>
      <c r="V20" s="104">
        <v>104151.66</v>
      </c>
      <c r="W20" s="104">
        <v>411253.05</v>
      </c>
      <c r="X20" s="104">
        <v>433154.1</v>
      </c>
      <c r="Y20" s="104">
        <v>3380548.74</v>
      </c>
      <c r="Z20" s="104">
        <v>3616755.62</v>
      </c>
      <c r="AA20" s="104">
        <v>2903917</v>
      </c>
      <c r="AB20" s="104">
        <v>1879759.01</v>
      </c>
      <c r="AC20" s="104">
        <v>3062740.17</v>
      </c>
      <c r="AD20" s="104">
        <v>3215723.06</v>
      </c>
      <c r="AE20" s="104">
        <v>3284508.58</v>
      </c>
      <c r="AF20" s="104">
        <v>3067282.61</v>
      </c>
      <c r="AG20" s="104">
        <v>2297825.7200000002</v>
      </c>
      <c r="AH20" s="104">
        <v>2638508.7200000002</v>
      </c>
      <c r="AI20" s="104">
        <v>3084478.99</v>
      </c>
      <c r="AJ20" s="104">
        <v>3064038.01</v>
      </c>
      <c r="AK20" s="104">
        <v>3226916.93</v>
      </c>
      <c r="AL20" s="104">
        <v>3587878.68</v>
      </c>
      <c r="AM20" s="104">
        <v>3953869.56</v>
      </c>
      <c r="AN20" s="104">
        <v>3915421.05</v>
      </c>
      <c r="AO20" s="104">
        <v>4842727.7300000004</v>
      </c>
      <c r="AP20" s="104">
        <v>4276220.57</v>
      </c>
      <c r="AQ20" s="104">
        <v>3439276</v>
      </c>
      <c r="AR20" s="104">
        <v>3752656.88</v>
      </c>
      <c r="AS20" s="104">
        <v>3252611.96</v>
      </c>
      <c r="AT20" s="104">
        <v>2460071.1</v>
      </c>
      <c r="AU20" s="104">
        <v>3247615.08</v>
      </c>
      <c r="AV20" s="104">
        <v>3209246.18</v>
      </c>
      <c r="AW20" s="104">
        <v>3161240.44</v>
      </c>
      <c r="AX20" s="104">
        <v>3822613.2</v>
      </c>
      <c r="AY20" s="104">
        <v>3363078.7</v>
      </c>
      <c r="AZ20" s="104">
        <v>3523157.32</v>
      </c>
      <c r="BA20" s="104">
        <v>4452933.92</v>
      </c>
      <c r="BB20" s="104">
        <v>0</v>
      </c>
      <c r="BC20" s="104">
        <v>0</v>
      </c>
      <c r="BD20" s="104">
        <v>0</v>
      </c>
      <c r="BE20" s="104">
        <v>0</v>
      </c>
      <c r="BF20" s="104">
        <v>642</v>
      </c>
      <c r="BG20" s="104">
        <v>2535</v>
      </c>
      <c r="BH20" s="104">
        <v>2670</v>
      </c>
      <c r="BI20" s="104">
        <v>20838</v>
      </c>
      <c r="BJ20" s="104">
        <v>22294</v>
      </c>
      <c r="BK20" s="104">
        <v>17900</v>
      </c>
      <c r="BL20" s="104">
        <v>11587</v>
      </c>
      <c r="BM20" s="104">
        <v>18879</v>
      </c>
      <c r="BN20" s="104">
        <v>19822</v>
      </c>
      <c r="BO20" s="104">
        <v>20246</v>
      </c>
      <c r="BP20" s="104">
        <v>18907</v>
      </c>
      <c r="BQ20" s="104">
        <v>14164</v>
      </c>
      <c r="BR20" s="104">
        <v>16264</v>
      </c>
      <c r="BS20" s="104">
        <v>19013</v>
      </c>
      <c r="BT20" s="104">
        <v>18887</v>
      </c>
      <c r="BU20" s="104">
        <v>19891</v>
      </c>
      <c r="BV20" s="104">
        <v>22116</v>
      </c>
      <c r="BW20" s="104">
        <v>24372</v>
      </c>
      <c r="BX20" s="104">
        <v>24135</v>
      </c>
      <c r="BY20" s="104">
        <v>29851</v>
      </c>
      <c r="BZ20" s="104">
        <v>26359</v>
      </c>
      <c r="CA20" s="104">
        <v>21200</v>
      </c>
      <c r="CB20" s="104">
        <v>21028</v>
      </c>
      <c r="CC20" s="104">
        <v>18226</v>
      </c>
      <c r="CD20" s="104">
        <v>13785</v>
      </c>
      <c r="CE20" s="104">
        <v>18198</v>
      </c>
      <c r="CF20" s="104">
        <v>17983</v>
      </c>
      <c r="CG20" s="104">
        <v>17714</v>
      </c>
      <c r="CH20" s="104">
        <v>21420</v>
      </c>
      <c r="CI20" s="104">
        <v>18845</v>
      </c>
      <c r="CJ20" s="104">
        <v>19742</v>
      </c>
      <c r="CK20" s="105">
        <v>24952</v>
      </c>
    </row>
    <row r="21" spans="1:89">
      <c r="A21" s="78" t="str">
        <f t="shared" si="5"/>
        <v xml:space="preserve"> V3X2</v>
      </c>
      <c r="B21" s="96" t="s">
        <v>215</v>
      </c>
      <c r="C21" s="97" t="s">
        <v>248</v>
      </c>
      <c r="D21" s="98" t="s">
        <v>249</v>
      </c>
      <c r="E21" s="97" t="s">
        <v>250</v>
      </c>
      <c r="F21" s="98">
        <v>51.28</v>
      </c>
      <c r="G21" s="99">
        <v>0.44898126500000002</v>
      </c>
      <c r="H21" s="99">
        <v>0.23441662299999999</v>
      </c>
      <c r="I21" s="99">
        <v>5.2577846999999997E-2</v>
      </c>
      <c r="J21" s="99">
        <v>6.7967549999999998E-3</v>
      </c>
      <c r="K21" s="99">
        <v>4.493347E-3</v>
      </c>
      <c r="L21" s="99">
        <v>86.763000000000005</v>
      </c>
      <c r="M21" s="99">
        <v>46.204999999999998</v>
      </c>
      <c r="N21" s="99">
        <v>10.504</v>
      </c>
      <c r="O21" s="99">
        <v>1.3169999999999999</v>
      </c>
      <c r="P21" s="99">
        <v>0.875</v>
      </c>
      <c r="Q21" s="99"/>
      <c r="R21" s="99">
        <v>157900</v>
      </c>
      <c r="S21" s="99">
        <v>106250</v>
      </c>
      <c r="T21" s="99">
        <v>123200</v>
      </c>
      <c r="U21" s="99">
        <v>106600</v>
      </c>
      <c r="V21" s="99">
        <v>10800</v>
      </c>
      <c r="W21" s="99">
        <v>3404.94</v>
      </c>
      <c r="X21" s="99">
        <v>2597.5</v>
      </c>
      <c r="Y21" s="99">
        <v>2493.6</v>
      </c>
      <c r="Z21" s="99">
        <v>1792.7</v>
      </c>
      <c r="AA21" s="99">
        <v>1382.94</v>
      </c>
      <c r="AB21" s="99">
        <v>4601.7</v>
      </c>
      <c r="AC21" s="99">
        <v>4755.09</v>
      </c>
      <c r="AD21" s="99">
        <v>5677.65</v>
      </c>
      <c r="AE21" s="99">
        <v>5423.25</v>
      </c>
      <c r="AF21" s="99">
        <v>5371.6</v>
      </c>
      <c r="AG21" s="99">
        <v>6249.65</v>
      </c>
      <c r="AH21" s="99">
        <v>5423.25</v>
      </c>
      <c r="AI21" s="99">
        <v>6714.5</v>
      </c>
      <c r="AJ21" s="99">
        <v>4286.95</v>
      </c>
      <c r="AK21" s="99">
        <v>8005.75</v>
      </c>
      <c r="AL21" s="99">
        <v>7747.5</v>
      </c>
      <c r="AM21" s="99">
        <v>7747.5</v>
      </c>
      <c r="AN21" s="99">
        <v>4545.2</v>
      </c>
      <c r="AO21" s="99">
        <v>774.75</v>
      </c>
      <c r="AP21" s="99">
        <v>0</v>
      </c>
      <c r="AQ21" s="99">
        <v>0</v>
      </c>
      <c r="AR21" s="99">
        <v>103.3</v>
      </c>
      <c r="AS21" s="99">
        <v>7799.15</v>
      </c>
      <c r="AT21" s="99">
        <v>7799.15</v>
      </c>
      <c r="AU21" s="99">
        <v>7774.8</v>
      </c>
      <c r="AV21" s="99">
        <v>3938.55</v>
      </c>
      <c r="AW21" s="99">
        <v>1790.25</v>
      </c>
      <c r="AX21" s="99">
        <v>1687.95</v>
      </c>
      <c r="AY21" s="99">
        <v>4092</v>
      </c>
      <c r="AZ21" s="99">
        <v>4717.76</v>
      </c>
      <c r="BA21" s="99">
        <v>5230.5600000000004</v>
      </c>
      <c r="BB21" s="99">
        <v>3158</v>
      </c>
      <c r="BC21" s="99">
        <v>2125</v>
      </c>
      <c r="BD21" s="99">
        <v>2464</v>
      </c>
      <c r="BE21" s="99">
        <v>2132</v>
      </c>
      <c r="BF21" s="99">
        <v>216</v>
      </c>
      <c r="BG21" s="99">
        <v>66</v>
      </c>
      <c r="BH21" s="99">
        <v>50</v>
      </c>
      <c r="BI21" s="99">
        <v>48</v>
      </c>
      <c r="BJ21" s="99">
        <v>35</v>
      </c>
      <c r="BK21" s="99">
        <v>27</v>
      </c>
      <c r="BL21" s="99">
        <v>90</v>
      </c>
      <c r="BM21" s="99">
        <v>93</v>
      </c>
      <c r="BN21" s="99">
        <v>111</v>
      </c>
      <c r="BO21" s="99">
        <v>105</v>
      </c>
      <c r="BP21" s="99">
        <v>104</v>
      </c>
      <c r="BQ21" s="99">
        <v>121</v>
      </c>
      <c r="BR21" s="99">
        <v>105</v>
      </c>
      <c r="BS21" s="99">
        <v>130</v>
      </c>
      <c r="BT21" s="99">
        <v>83</v>
      </c>
      <c r="BU21" s="99">
        <v>155</v>
      </c>
      <c r="BV21" s="99">
        <v>150</v>
      </c>
      <c r="BW21" s="99">
        <v>150</v>
      </c>
      <c r="BX21" s="99">
        <v>88</v>
      </c>
      <c r="BY21" s="99">
        <v>15</v>
      </c>
      <c r="BZ21" s="99">
        <v>0</v>
      </c>
      <c r="CA21" s="99">
        <v>0</v>
      </c>
      <c r="CB21" s="99">
        <v>2</v>
      </c>
      <c r="CC21" s="99">
        <v>151</v>
      </c>
      <c r="CD21" s="99">
        <v>151</v>
      </c>
      <c r="CE21" s="99">
        <v>152</v>
      </c>
      <c r="CF21" s="99">
        <v>77</v>
      </c>
      <c r="CG21" s="99">
        <v>35</v>
      </c>
      <c r="CH21" s="99">
        <v>33</v>
      </c>
      <c r="CI21" s="99">
        <v>80</v>
      </c>
      <c r="CJ21" s="99">
        <v>92</v>
      </c>
      <c r="CK21" s="100">
        <v>102</v>
      </c>
    </row>
    <row r="22" spans="1:89">
      <c r="A22" s="78" t="str">
        <f t="shared" si="5"/>
        <v xml:space="preserve"> V3X2</v>
      </c>
      <c r="B22" s="101" t="s">
        <v>215</v>
      </c>
      <c r="C22" s="102" t="str">
        <f>C21</f>
        <v>SHILAJIT</v>
      </c>
      <c r="D22" s="103" t="str">
        <f>D21</f>
        <v>DABUR INDIA LTD.</v>
      </c>
      <c r="E22" s="102" t="s">
        <v>251</v>
      </c>
      <c r="F22" s="103">
        <v>372.03</v>
      </c>
      <c r="G22" s="104">
        <v>0.38717641200000003</v>
      </c>
      <c r="H22" s="104">
        <v>0.308342004</v>
      </c>
      <c r="I22" s="104">
        <v>0.16010693200000001</v>
      </c>
      <c r="J22" s="104">
        <v>0.112473383</v>
      </c>
      <c r="K22" s="104">
        <v>9.4160418999999995E-2</v>
      </c>
      <c r="L22" s="104">
        <v>9.7119999999999997</v>
      </c>
      <c r="M22" s="104">
        <v>8.0719999999999992</v>
      </c>
      <c r="N22" s="104">
        <v>4.1870000000000003</v>
      </c>
      <c r="O22" s="104">
        <v>2.94</v>
      </c>
      <c r="P22" s="104">
        <v>2.4990000000000001</v>
      </c>
      <c r="Q22" s="104"/>
      <c r="R22" s="104">
        <v>290302.32</v>
      </c>
      <c r="S22" s="104">
        <v>116273.92</v>
      </c>
      <c r="T22" s="104">
        <v>96393</v>
      </c>
      <c r="U22" s="104">
        <v>64256.639999999999</v>
      </c>
      <c r="V22" s="104">
        <v>126600.88</v>
      </c>
      <c r="W22" s="104">
        <v>95620</v>
      </c>
      <c r="X22" s="104">
        <v>123923.52</v>
      </c>
      <c r="Y22" s="104">
        <v>181295.52</v>
      </c>
      <c r="Z22" s="104">
        <v>206156.72</v>
      </c>
      <c r="AA22" s="104">
        <v>127748.32</v>
      </c>
      <c r="AB22" s="104">
        <v>102122.16</v>
      </c>
      <c r="AC22" s="104">
        <v>70376.320000000007</v>
      </c>
      <c r="AD22" s="104">
        <v>86058</v>
      </c>
      <c r="AE22" s="104">
        <v>64256.639999999999</v>
      </c>
      <c r="AF22" s="104">
        <v>75348.56</v>
      </c>
      <c r="AG22" s="104">
        <v>86822.96</v>
      </c>
      <c r="AH22" s="104">
        <v>95667.5</v>
      </c>
      <c r="AI22" s="104">
        <v>96384.960000000006</v>
      </c>
      <c r="AJ22" s="104">
        <v>93325.119999999995</v>
      </c>
      <c r="AK22" s="104">
        <v>84570.07</v>
      </c>
      <c r="AL22" s="104">
        <v>83804.73</v>
      </c>
      <c r="AM22" s="104">
        <v>84570.07</v>
      </c>
      <c r="AN22" s="104">
        <v>140057.22</v>
      </c>
      <c r="AO22" s="104">
        <v>133868</v>
      </c>
      <c r="AP22" s="104">
        <v>115891.44</v>
      </c>
      <c r="AQ22" s="104">
        <v>114744</v>
      </c>
      <c r="AR22" s="104">
        <v>100592.24</v>
      </c>
      <c r="AS22" s="104">
        <v>102555.56</v>
      </c>
      <c r="AT22" s="104">
        <v>75894.12</v>
      </c>
      <c r="AU22" s="104">
        <v>86310.96</v>
      </c>
      <c r="AV22" s="104">
        <v>77382.240000000005</v>
      </c>
      <c r="AW22" s="104">
        <v>75894.12</v>
      </c>
      <c r="AX22" s="104">
        <v>71801.789999999994</v>
      </c>
      <c r="AY22" s="104">
        <v>70313.67</v>
      </c>
      <c r="AZ22" s="104">
        <v>22693.83</v>
      </c>
      <c r="BA22" s="104">
        <v>27530.22</v>
      </c>
      <c r="BB22" s="104">
        <v>759</v>
      </c>
      <c r="BC22" s="104">
        <v>304</v>
      </c>
      <c r="BD22" s="104">
        <v>253</v>
      </c>
      <c r="BE22" s="104">
        <v>168</v>
      </c>
      <c r="BF22" s="104">
        <v>331</v>
      </c>
      <c r="BG22" s="104">
        <v>250</v>
      </c>
      <c r="BH22" s="104">
        <v>324</v>
      </c>
      <c r="BI22" s="104">
        <v>474</v>
      </c>
      <c r="BJ22" s="104">
        <v>539</v>
      </c>
      <c r="BK22" s="104">
        <v>334</v>
      </c>
      <c r="BL22" s="104">
        <v>267</v>
      </c>
      <c r="BM22" s="104">
        <v>184</v>
      </c>
      <c r="BN22" s="104">
        <v>225</v>
      </c>
      <c r="BO22" s="104">
        <v>168</v>
      </c>
      <c r="BP22" s="104">
        <v>197</v>
      </c>
      <c r="BQ22" s="104">
        <v>227</v>
      </c>
      <c r="BR22" s="104">
        <v>250</v>
      </c>
      <c r="BS22" s="104">
        <v>252</v>
      </c>
      <c r="BT22" s="104">
        <v>244</v>
      </c>
      <c r="BU22" s="104">
        <v>221</v>
      </c>
      <c r="BV22" s="104">
        <v>219</v>
      </c>
      <c r="BW22" s="104">
        <v>221</v>
      </c>
      <c r="BX22" s="104">
        <v>366</v>
      </c>
      <c r="BY22" s="104">
        <v>350</v>
      </c>
      <c r="BZ22" s="104">
        <v>303</v>
      </c>
      <c r="CA22" s="104">
        <v>300</v>
      </c>
      <c r="CB22" s="104">
        <v>263</v>
      </c>
      <c r="CC22" s="104">
        <v>268</v>
      </c>
      <c r="CD22" s="104">
        <v>204</v>
      </c>
      <c r="CE22" s="104">
        <v>232</v>
      </c>
      <c r="CF22" s="104">
        <v>208</v>
      </c>
      <c r="CG22" s="104">
        <v>204</v>
      </c>
      <c r="CH22" s="104">
        <v>193</v>
      </c>
      <c r="CI22" s="104">
        <v>189</v>
      </c>
      <c r="CJ22" s="104">
        <v>61</v>
      </c>
      <c r="CK22" s="105">
        <v>74</v>
      </c>
    </row>
    <row r="23" spans="1:89">
      <c r="A23" s="78" t="str">
        <f t="shared" si="5"/>
        <v xml:space="preserve"> V3X2</v>
      </c>
      <c r="B23" s="96" t="s">
        <v>215</v>
      </c>
      <c r="C23" s="97" t="str">
        <f t="shared" ref="C23:D26" si="6">C22</f>
        <v>SHILAJIT</v>
      </c>
      <c r="D23" s="98" t="str">
        <f t="shared" si="6"/>
        <v>DABUR INDIA LTD.</v>
      </c>
      <c r="E23" s="97" t="s">
        <v>252</v>
      </c>
      <c r="F23" s="98">
        <v>149.38</v>
      </c>
      <c r="G23" s="99">
        <v>0.75483106899999997</v>
      </c>
      <c r="H23" s="99">
        <v>0.39509170100000002</v>
      </c>
      <c r="I23" s="99">
        <v>0.34328553699999997</v>
      </c>
      <c r="J23" s="99">
        <v>0.24437622000000001</v>
      </c>
      <c r="K23" s="99">
        <v>0.287624035</v>
      </c>
      <c r="L23" s="99">
        <v>47.16</v>
      </c>
      <c r="M23" s="99">
        <v>26.395</v>
      </c>
      <c r="N23" s="99">
        <v>23.009</v>
      </c>
      <c r="O23" s="99">
        <v>16.286999999999999</v>
      </c>
      <c r="P23" s="99">
        <v>19.202999999999999</v>
      </c>
      <c r="Q23" s="99"/>
      <c r="R23" s="99">
        <v>297594.15000000002</v>
      </c>
      <c r="S23" s="99">
        <v>358753.85</v>
      </c>
      <c r="T23" s="99">
        <v>354278.75</v>
      </c>
      <c r="U23" s="99">
        <v>284168.84999999998</v>
      </c>
      <c r="V23" s="99">
        <v>373670.85</v>
      </c>
      <c r="W23" s="99">
        <v>276412.01</v>
      </c>
      <c r="X23" s="99">
        <v>202722.03</v>
      </c>
      <c r="Y23" s="99">
        <v>262363.92</v>
      </c>
      <c r="Z23" s="99">
        <v>239679.44</v>
      </c>
      <c r="AA23" s="99">
        <v>205503.48</v>
      </c>
      <c r="AB23" s="99">
        <v>272959.96000000002</v>
      </c>
      <c r="AC23" s="99">
        <v>304748.08</v>
      </c>
      <c r="AD23" s="99">
        <v>274900.08</v>
      </c>
      <c r="AE23" s="99">
        <v>151627.84</v>
      </c>
      <c r="AF23" s="99">
        <v>156702</v>
      </c>
      <c r="AG23" s="99">
        <v>181625.08</v>
      </c>
      <c r="AH23" s="99">
        <v>164910.20000000001</v>
      </c>
      <c r="AI23" s="99">
        <v>165131.19</v>
      </c>
      <c r="AJ23" s="99">
        <v>196307.72</v>
      </c>
      <c r="AK23" s="99">
        <v>203764.95</v>
      </c>
      <c r="AL23" s="99">
        <v>206249.68</v>
      </c>
      <c r="AM23" s="99">
        <v>230471.96</v>
      </c>
      <c r="AN23" s="99">
        <v>257707.2</v>
      </c>
      <c r="AO23" s="99">
        <v>254364.3</v>
      </c>
      <c r="AP23" s="99">
        <v>283705.24</v>
      </c>
      <c r="AQ23" s="99">
        <v>302405.71000000002</v>
      </c>
      <c r="AR23" s="99">
        <v>178938.76</v>
      </c>
      <c r="AS23" s="99">
        <v>313011.59999999998</v>
      </c>
      <c r="AT23" s="99">
        <v>316687.90999999997</v>
      </c>
      <c r="AU23" s="99">
        <v>217937.37</v>
      </c>
      <c r="AV23" s="99">
        <v>181548.79999999999</v>
      </c>
      <c r="AW23" s="99">
        <v>193642.1</v>
      </c>
      <c r="AX23" s="99">
        <v>189712.6</v>
      </c>
      <c r="AY23" s="99">
        <v>200019.82</v>
      </c>
      <c r="AZ23" s="99">
        <v>245879.48</v>
      </c>
      <c r="BA23" s="99">
        <v>252750.96</v>
      </c>
      <c r="BB23" s="99">
        <v>1995</v>
      </c>
      <c r="BC23" s="99">
        <v>2405</v>
      </c>
      <c r="BD23" s="99">
        <v>2375</v>
      </c>
      <c r="BE23" s="99">
        <v>1905</v>
      </c>
      <c r="BF23" s="99">
        <v>2505</v>
      </c>
      <c r="BG23" s="99">
        <v>1853</v>
      </c>
      <c r="BH23" s="99">
        <v>1359</v>
      </c>
      <c r="BI23" s="99">
        <v>1758</v>
      </c>
      <c r="BJ23" s="99">
        <v>1606</v>
      </c>
      <c r="BK23" s="99">
        <v>1377</v>
      </c>
      <c r="BL23" s="99">
        <v>1829</v>
      </c>
      <c r="BM23" s="99">
        <v>2042</v>
      </c>
      <c r="BN23" s="99">
        <v>1842</v>
      </c>
      <c r="BO23" s="99">
        <v>1016</v>
      </c>
      <c r="BP23" s="99">
        <v>1050</v>
      </c>
      <c r="BQ23" s="99">
        <v>1217</v>
      </c>
      <c r="BR23" s="99">
        <v>1105</v>
      </c>
      <c r="BS23" s="99">
        <v>1107</v>
      </c>
      <c r="BT23" s="99">
        <v>1316</v>
      </c>
      <c r="BU23" s="99">
        <v>1341</v>
      </c>
      <c r="BV23" s="99">
        <v>1382</v>
      </c>
      <c r="BW23" s="99">
        <v>1541</v>
      </c>
      <c r="BX23" s="99">
        <v>1696</v>
      </c>
      <c r="BY23" s="99">
        <v>1674</v>
      </c>
      <c r="BZ23" s="99">
        <v>1901</v>
      </c>
      <c r="CA23" s="99">
        <v>1997</v>
      </c>
      <c r="CB23" s="99">
        <v>1199</v>
      </c>
      <c r="CC23" s="99">
        <v>2062</v>
      </c>
      <c r="CD23" s="99">
        <v>2123</v>
      </c>
      <c r="CE23" s="99">
        <v>1461</v>
      </c>
      <c r="CF23" s="99">
        <v>1216</v>
      </c>
      <c r="CG23" s="99">
        <v>1297</v>
      </c>
      <c r="CH23" s="99">
        <v>1270</v>
      </c>
      <c r="CI23" s="99">
        <v>1339</v>
      </c>
      <c r="CJ23" s="99">
        <v>1646</v>
      </c>
      <c r="CK23" s="100">
        <v>1692</v>
      </c>
    </row>
    <row r="24" spans="1:89">
      <c r="A24" s="78" t="str">
        <f t="shared" si="5"/>
        <v xml:space="preserve"> V3X2</v>
      </c>
      <c r="B24" s="101" t="s">
        <v>215</v>
      </c>
      <c r="C24" s="102" t="str">
        <f t="shared" si="6"/>
        <v>SHILAJIT</v>
      </c>
      <c r="D24" s="103" t="str">
        <f t="shared" si="6"/>
        <v>DABUR INDIA LTD.</v>
      </c>
      <c r="E24" s="102" t="s">
        <v>253</v>
      </c>
      <c r="F24" s="103">
        <v>200.94</v>
      </c>
      <c r="G24" s="104">
        <v>5.4890318E-2</v>
      </c>
      <c r="H24" s="104">
        <v>0</v>
      </c>
      <c r="I24" s="104">
        <v>0</v>
      </c>
      <c r="J24" s="104">
        <v>0</v>
      </c>
      <c r="K24" s="104">
        <v>0</v>
      </c>
      <c r="L24" s="104">
        <v>2.887</v>
      </c>
      <c r="M24" s="104">
        <v>0</v>
      </c>
      <c r="N24" s="104">
        <v>0</v>
      </c>
      <c r="O24" s="104">
        <v>0</v>
      </c>
      <c r="P24" s="104">
        <v>0</v>
      </c>
      <c r="Q24" s="104"/>
      <c r="R24" s="104">
        <v>0</v>
      </c>
      <c r="S24" s="104">
        <v>0</v>
      </c>
      <c r="T24" s="104">
        <v>0</v>
      </c>
      <c r="U24" s="104">
        <v>0</v>
      </c>
      <c r="V24" s="104">
        <v>0</v>
      </c>
      <c r="W24" s="104">
        <v>0</v>
      </c>
      <c r="X24" s="104">
        <v>0</v>
      </c>
      <c r="Y24" s="104">
        <v>0</v>
      </c>
      <c r="Z24" s="104">
        <v>0</v>
      </c>
      <c r="AA24" s="104">
        <v>0</v>
      </c>
      <c r="AB24" s="104">
        <v>0</v>
      </c>
      <c r="AC24" s="104">
        <v>0</v>
      </c>
      <c r="AD24" s="104">
        <v>0</v>
      </c>
      <c r="AE24" s="104">
        <v>0</v>
      </c>
      <c r="AF24" s="104">
        <v>0</v>
      </c>
      <c r="AG24" s="104">
        <v>0</v>
      </c>
      <c r="AH24" s="104">
        <v>0</v>
      </c>
      <c r="AI24" s="104">
        <v>0</v>
      </c>
      <c r="AJ24" s="104">
        <v>0</v>
      </c>
      <c r="AK24" s="104">
        <v>0</v>
      </c>
      <c r="AL24" s="104">
        <v>0</v>
      </c>
      <c r="AM24" s="104">
        <v>0</v>
      </c>
      <c r="AN24" s="104">
        <v>0</v>
      </c>
      <c r="AO24" s="104">
        <v>0</v>
      </c>
      <c r="AP24" s="104">
        <v>0</v>
      </c>
      <c r="AQ24" s="104">
        <v>0</v>
      </c>
      <c r="AR24" s="104">
        <v>0</v>
      </c>
      <c r="AS24" s="104">
        <v>0</v>
      </c>
      <c r="AT24" s="104">
        <v>0</v>
      </c>
      <c r="AU24" s="104">
        <v>0</v>
      </c>
      <c r="AV24" s="104">
        <v>0</v>
      </c>
      <c r="AW24" s="104">
        <v>0</v>
      </c>
      <c r="AX24" s="104">
        <v>0</v>
      </c>
      <c r="AY24" s="104">
        <v>0</v>
      </c>
      <c r="AZ24" s="104">
        <v>0</v>
      </c>
      <c r="BA24" s="104">
        <v>0</v>
      </c>
      <c r="BB24" s="104">
        <v>0</v>
      </c>
      <c r="BC24" s="104">
        <v>0</v>
      </c>
      <c r="BD24" s="104">
        <v>0</v>
      </c>
      <c r="BE24" s="104">
        <v>0</v>
      </c>
      <c r="BF24" s="104">
        <v>0</v>
      </c>
      <c r="BG24" s="104">
        <v>0</v>
      </c>
      <c r="BH24" s="104">
        <v>0</v>
      </c>
      <c r="BI24" s="104">
        <v>0</v>
      </c>
      <c r="BJ24" s="104">
        <v>0</v>
      </c>
      <c r="BK24" s="104">
        <v>0</v>
      </c>
      <c r="BL24" s="104">
        <v>0</v>
      </c>
      <c r="BM24" s="104">
        <v>0</v>
      </c>
      <c r="BN24" s="104">
        <v>0</v>
      </c>
      <c r="BO24" s="104">
        <v>0</v>
      </c>
      <c r="BP24" s="104">
        <v>0</v>
      </c>
      <c r="BQ24" s="104">
        <v>0</v>
      </c>
      <c r="BR24" s="104">
        <v>0</v>
      </c>
      <c r="BS24" s="104">
        <v>0</v>
      </c>
      <c r="BT24" s="104">
        <v>0</v>
      </c>
      <c r="BU24" s="104">
        <v>0</v>
      </c>
      <c r="BV24" s="104">
        <v>0</v>
      </c>
      <c r="BW24" s="104">
        <v>0</v>
      </c>
      <c r="BX24" s="104">
        <v>0</v>
      </c>
      <c r="BY24" s="104">
        <v>0</v>
      </c>
      <c r="BZ24" s="104">
        <v>0</v>
      </c>
      <c r="CA24" s="104">
        <v>0</v>
      </c>
      <c r="CB24" s="104">
        <v>0</v>
      </c>
      <c r="CC24" s="104">
        <v>0</v>
      </c>
      <c r="CD24" s="104">
        <v>0</v>
      </c>
      <c r="CE24" s="104">
        <v>0</v>
      </c>
      <c r="CF24" s="104">
        <v>0</v>
      </c>
      <c r="CG24" s="104">
        <v>0</v>
      </c>
      <c r="CH24" s="104">
        <v>0</v>
      </c>
      <c r="CI24" s="104">
        <v>0</v>
      </c>
      <c r="CJ24" s="104">
        <v>0</v>
      </c>
      <c r="CK24" s="105">
        <v>0</v>
      </c>
    </row>
    <row r="25" spans="1:89">
      <c r="A25" s="78" t="str">
        <f t="shared" si="5"/>
        <v xml:space="preserve"> V3X2</v>
      </c>
      <c r="B25" s="96" t="s">
        <v>215</v>
      </c>
      <c r="C25" s="97" t="str">
        <f t="shared" si="6"/>
        <v>SHILAJIT</v>
      </c>
      <c r="D25" s="98" t="str">
        <f t="shared" si="6"/>
        <v>DABUR INDIA LTD.</v>
      </c>
      <c r="E25" s="97" t="s">
        <v>254</v>
      </c>
      <c r="F25" s="98">
        <v>182.29</v>
      </c>
      <c r="G25" s="99">
        <v>7.8806619729999996</v>
      </c>
      <c r="H25" s="99">
        <v>5.083581691</v>
      </c>
      <c r="I25" s="99">
        <v>4.3843777749999999</v>
      </c>
      <c r="J25" s="99">
        <v>2.3380263060000002</v>
      </c>
      <c r="K25" s="99">
        <v>2.7838706119999999</v>
      </c>
      <c r="L25" s="99">
        <v>495.70600000000002</v>
      </c>
      <c r="M25" s="99">
        <v>331.51900000000001</v>
      </c>
      <c r="N25" s="99">
        <v>274.07499999999999</v>
      </c>
      <c r="O25" s="99">
        <v>139.22300000000001</v>
      </c>
      <c r="P25" s="99">
        <v>155.18</v>
      </c>
      <c r="Q25" s="99"/>
      <c r="R25" s="99">
        <v>7356380.4199999999</v>
      </c>
      <c r="S25" s="99">
        <v>6155005.7199999997</v>
      </c>
      <c r="T25" s="99">
        <v>4816536.7300000004</v>
      </c>
      <c r="U25" s="99">
        <v>4216009.3499999996</v>
      </c>
      <c r="V25" s="99">
        <v>3889670.55</v>
      </c>
      <c r="W25" s="99">
        <v>2958965.09</v>
      </c>
      <c r="X25" s="99">
        <v>2557920.2999999998</v>
      </c>
      <c r="Y25" s="99">
        <v>2105525.14</v>
      </c>
      <c r="Z25" s="99">
        <v>2075450.78</v>
      </c>
      <c r="AA25" s="99">
        <v>2287251.06</v>
      </c>
      <c r="AB25" s="99">
        <v>2678537.6800000002</v>
      </c>
      <c r="AC25" s="99">
        <v>2746524.93</v>
      </c>
      <c r="AD25" s="99">
        <v>2964916.97</v>
      </c>
      <c r="AE25" s="99">
        <v>2476302.3199999998</v>
      </c>
      <c r="AF25" s="99">
        <v>2266779.12</v>
      </c>
      <c r="AG25" s="99">
        <v>2102434.36</v>
      </c>
      <c r="AH25" s="99">
        <v>2352148.16</v>
      </c>
      <c r="AI25" s="99">
        <v>1567550.8</v>
      </c>
      <c r="AJ25" s="99">
        <v>1415758.49</v>
      </c>
      <c r="AK25" s="99">
        <v>1512728.7</v>
      </c>
      <c r="AL25" s="99">
        <v>1534522.71</v>
      </c>
      <c r="AM25" s="99">
        <v>1743130.18</v>
      </c>
      <c r="AN25" s="99">
        <v>1521859.09</v>
      </c>
      <c r="AO25" s="99">
        <v>1922132.16</v>
      </c>
      <c r="AP25" s="99">
        <v>1969706.3</v>
      </c>
      <c r="AQ25" s="99">
        <v>1517067.45</v>
      </c>
      <c r="AR25" s="99">
        <v>1721396.67</v>
      </c>
      <c r="AS25" s="99">
        <v>1677758.52</v>
      </c>
      <c r="AT25" s="99">
        <v>1953419.64</v>
      </c>
      <c r="AU25" s="99">
        <v>2136074.2200000002</v>
      </c>
      <c r="AV25" s="99">
        <v>2328754.75</v>
      </c>
      <c r="AW25" s="99">
        <v>2542945.5</v>
      </c>
      <c r="AX25" s="99">
        <v>2355915.96</v>
      </c>
      <c r="AY25" s="99">
        <v>2645027.9</v>
      </c>
      <c r="AZ25" s="99">
        <v>3270647.18</v>
      </c>
      <c r="BA25" s="99">
        <v>3719992.03</v>
      </c>
      <c r="BB25" s="99">
        <v>45986</v>
      </c>
      <c r="BC25" s="99">
        <v>38476</v>
      </c>
      <c r="BD25" s="99">
        <v>30109</v>
      </c>
      <c r="BE25" s="99">
        <v>26355</v>
      </c>
      <c r="BF25" s="99">
        <v>24315</v>
      </c>
      <c r="BG25" s="99">
        <v>18497</v>
      </c>
      <c r="BH25" s="99">
        <v>15990</v>
      </c>
      <c r="BI25" s="99">
        <v>13162</v>
      </c>
      <c r="BJ25" s="99">
        <v>12974</v>
      </c>
      <c r="BK25" s="99">
        <v>14298</v>
      </c>
      <c r="BL25" s="99">
        <v>16744</v>
      </c>
      <c r="BM25" s="99">
        <v>17169</v>
      </c>
      <c r="BN25" s="99">
        <v>18113</v>
      </c>
      <c r="BO25" s="99">
        <v>15128</v>
      </c>
      <c r="BP25" s="99">
        <v>13848</v>
      </c>
      <c r="BQ25" s="99">
        <v>12844</v>
      </c>
      <c r="BR25" s="99">
        <v>13744</v>
      </c>
      <c r="BS25" s="99">
        <v>9160</v>
      </c>
      <c r="BT25" s="99">
        <v>8273</v>
      </c>
      <c r="BU25" s="99">
        <v>8835</v>
      </c>
      <c r="BV25" s="99">
        <v>8967</v>
      </c>
      <c r="BW25" s="99">
        <v>10186</v>
      </c>
      <c r="BX25" s="99">
        <v>8893</v>
      </c>
      <c r="BY25" s="99">
        <v>11232</v>
      </c>
      <c r="BZ25" s="99">
        <v>11510</v>
      </c>
      <c r="CA25" s="99">
        <v>8865</v>
      </c>
      <c r="CB25" s="99">
        <v>10059</v>
      </c>
      <c r="CC25" s="99">
        <v>9804</v>
      </c>
      <c r="CD25" s="99">
        <v>10716</v>
      </c>
      <c r="CE25" s="99">
        <v>11718</v>
      </c>
      <c r="CF25" s="99">
        <v>12775</v>
      </c>
      <c r="CG25" s="99">
        <v>13950</v>
      </c>
      <c r="CH25" s="99">
        <v>12924</v>
      </c>
      <c r="CI25" s="99">
        <v>14510</v>
      </c>
      <c r="CJ25" s="99">
        <v>17942</v>
      </c>
      <c r="CK25" s="100">
        <v>20407</v>
      </c>
    </row>
    <row r="26" spans="1:89">
      <c r="A26" s="78" t="str">
        <f t="shared" si="5"/>
        <v xml:space="preserve"> V3X2</v>
      </c>
      <c r="B26" s="101" t="s">
        <v>215</v>
      </c>
      <c r="C26" s="102" t="str">
        <f t="shared" si="6"/>
        <v>SHILAJIT</v>
      </c>
      <c r="D26" s="103" t="str">
        <f t="shared" si="6"/>
        <v>DABUR INDIA LTD.</v>
      </c>
      <c r="E26" s="102" t="s">
        <v>255</v>
      </c>
      <c r="F26" s="103">
        <v>331.1</v>
      </c>
      <c r="G26" s="104">
        <v>2.059491924</v>
      </c>
      <c r="H26" s="104">
        <v>0.99147000399999996</v>
      </c>
      <c r="I26" s="104">
        <v>1.0453589080000001</v>
      </c>
      <c r="J26" s="104">
        <v>0.46088273400000002</v>
      </c>
      <c r="K26" s="104">
        <v>0.58966096999999995</v>
      </c>
      <c r="L26" s="104">
        <v>68.328999999999994</v>
      </c>
      <c r="M26" s="104">
        <v>34.014000000000003</v>
      </c>
      <c r="N26" s="104">
        <v>34.253999999999998</v>
      </c>
      <c r="O26" s="104">
        <v>14.59</v>
      </c>
      <c r="P26" s="104">
        <v>18.111000000000001</v>
      </c>
      <c r="Q26" s="104"/>
      <c r="R26" s="104">
        <v>1746468.84</v>
      </c>
      <c r="S26" s="104">
        <v>1558148.1</v>
      </c>
      <c r="T26" s="104">
        <v>1440027.96</v>
      </c>
      <c r="U26" s="104">
        <v>1090245.8400000001</v>
      </c>
      <c r="V26" s="104">
        <v>969989.16</v>
      </c>
      <c r="W26" s="104">
        <v>947402.88</v>
      </c>
      <c r="X26" s="104">
        <v>885894.24</v>
      </c>
      <c r="Y26" s="104">
        <v>864234.98</v>
      </c>
      <c r="Z26" s="104">
        <v>126294.84</v>
      </c>
      <c r="AA26" s="104">
        <v>195238.39999999999</v>
      </c>
      <c r="AB26" s="104">
        <v>231540.54</v>
      </c>
      <c r="AC26" s="104">
        <v>398103.3</v>
      </c>
      <c r="AD26" s="104">
        <v>431275.86</v>
      </c>
      <c r="AE26" s="104">
        <v>442413.9</v>
      </c>
      <c r="AF26" s="104">
        <v>380194.56</v>
      </c>
      <c r="AG26" s="104">
        <v>312660</v>
      </c>
      <c r="AH26" s="104">
        <v>268574.94</v>
      </c>
      <c r="AI26" s="104">
        <v>386447.76</v>
      </c>
      <c r="AJ26" s="104">
        <v>475555.86</v>
      </c>
      <c r="AK26" s="104">
        <v>391951</v>
      </c>
      <c r="AL26" s="104">
        <v>399925</v>
      </c>
      <c r="AM26" s="104">
        <v>326999.12</v>
      </c>
      <c r="AN26" s="104">
        <v>408563.38</v>
      </c>
      <c r="AO26" s="104">
        <v>384265.96</v>
      </c>
      <c r="AP26" s="104">
        <v>465541.8</v>
      </c>
      <c r="AQ26" s="104">
        <v>426506.68</v>
      </c>
      <c r="AR26" s="104">
        <v>388087.22</v>
      </c>
      <c r="AS26" s="104">
        <v>472551.38</v>
      </c>
      <c r="AT26" s="104">
        <v>472260.96</v>
      </c>
      <c r="AU26" s="104">
        <v>447624.04</v>
      </c>
      <c r="AV26" s="104">
        <v>505536.8</v>
      </c>
      <c r="AW26" s="104">
        <v>490044.72</v>
      </c>
      <c r="AX26" s="104">
        <v>476990.25</v>
      </c>
      <c r="AY26" s="104">
        <v>541626.44999999995</v>
      </c>
      <c r="AZ26" s="104">
        <v>593993.4</v>
      </c>
      <c r="BA26" s="104">
        <v>615846</v>
      </c>
      <c r="BB26" s="104">
        <v>5722</v>
      </c>
      <c r="BC26" s="104">
        <v>5105</v>
      </c>
      <c r="BD26" s="104">
        <v>4718</v>
      </c>
      <c r="BE26" s="104">
        <v>3572</v>
      </c>
      <c r="BF26" s="104">
        <v>3178</v>
      </c>
      <c r="BG26" s="104">
        <v>3104</v>
      </c>
      <c r="BH26" s="104">
        <v>2904</v>
      </c>
      <c r="BI26" s="104">
        <v>2833</v>
      </c>
      <c r="BJ26" s="104">
        <v>414</v>
      </c>
      <c r="BK26" s="104">
        <v>640</v>
      </c>
      <c r="BL26" s="104">
        <v>759</v>
      </c>
      <c r="BM26" s="104">
        <v>1305</v>
      </c>
      <c r="BN26" s="104">
        <v>1413</v>
      </c>
      <c r="BO26" s="104">
        <v>1415</v>
      </c>
      <c r="BP26" s="104">
        <v>1216</v>
      </c>
      <c r="BQ26" s="104">
        <v>1000</v>
      </c>
      <c r="BR26" s="104">
        <v>859</v>
      </c>
      <c r="BS26" s="104">
        <v>1236</v>
      </c>
      <c r="BT26" s="104">
        <v>1521</v>
      </c>
      <c r="BU26" s="104">
        <v>1225</v>
      </c>
      <c r="BV26" s="104">
        <v>1250</v>
      </c>
      <c r="BW26" s="104">
        <v>1022</v>
      </c>
      <c r="BX26" s="104">
        <v>1277</v>
      </c>
      <c r="BY26" s="104">
        <v>1156</v>
      </c>
      <c r="BZ26" s="104">
        <v>1455</v>
      </c>
      <c r="CA26" s="104">
        <v>1333</v>
      </c>
      <c r="CB26" s="104">
        <v>1213</v>
      </c>
      <c r="CC26" s="104">
        <v>1477</v>
      </c>
      <c r="CD26" s="104">
        <v>1476</v>
      </c>
      <c r="CE26" s="104">
        <v>1399</v>
      </c>
      <c r="CF26" s="104">
        <v>1580</v>
      </c>
      <c r="CG26" s="104">
        <v>1464</v>
      </c>
      <c r="CH26" s="104">
        <v>1425</v>
      </c>
      <c r="CI26" s="104">
        <v>1635</v>
      </c>
      <c r="CJ26" s="104">
        <v>1794</v>
      </c>
      <c r="CK26" s="105">
        <v>1860</v>
      </c>
    </row>
    <row r="27" spans="1:89">
      <c r="A27" s="78" t="str">
        <f t="shared" si="5"/>
        <v xml:space="preserve"> V3X2</v>
      </c>
      <c r="B27" s="96" t="s">
        <v>215</v>
      </c>
      <c r="C27" s="97" t="s">
        <v>256</v>
      </c>
      <c r="D27" s="98" t="s">
        <v>235</v>
      </c>
      <c r="E27" s="97" t="s">
        <v>257</v>
      </c>
      <c r="F27" s="98">
        <v>50.85</v>
      </c>
      <c r="G27" s="99">
        <v>1.1737272459999999</v>
      </c>
      <c r="H27" s="99">
        <v>0.50511409799999996</v>
      </c>
      <c r="I27" s="99">
        <v>0.49240234799999999</v>
      </c>
      <c r="J27" s="99">
        <v>9.1727987999999996E-2</v>
      </c>
      <c r="K27" s="99">
        <v>5.4409499999999997E-4</v>
      </c>
      <c r="L27" s="99">
        <v>27.257999999999999</v>
      </c>
      <c r="M27" s="99">
        <v>9.9339999999999993</v>
      </c>
      <c r="N27" s="99">
        <v>9.6839999999999993</v>
      </c>
      <c r="O27" s="99">
        <v>1.804</v>
      </c>
      <c r="P27" s="99">
        <v>0.107</v>
      </c>
      <c r="Q27" s="99"/>
      <c r="R27" s="99">
        <v>626943.51</v>
      </c>
      <c r="S27" s="99">
        <v>866941.35</v>
      </c>
      <c r="T27" s="99">
        <v>710841.06</v>
      </c>
      <c r="U27" s="99">
        <v>793213.2</v>
      </c>
      <c r="V27" s="99">
        <v>447962.07</v>
      </c>
      <c r="W27" s="99">
        <v>270506.03999999998</v>
      </c>
      <c r="X27" s="99">
        <v>254235</v>
      </c>
      <c r="Y27" s="99">
        <v>261862.05</v>
      </c>
      <c r="Z27" s="99">
        <v>173388.27</v>
      </c>
      <c r="AA27" s="99">
        <v>141354.66</v>
      </c>
      <c r="AB27" s="99">
        <v>182540.73</v>
      </c>
      <c r="AC27" s="99">
        <v>194235.54</v>
      </c>
      <c r="AD27" s="99">
        <v>221184.45</v>
      </c>
      <c r="AE27" s="99">
        <v>208981.17</v>
      </c>
      <c r="AF27" s="99">
        <v>170337.45</v>
      </c>
      <c r="AG27" s="99">
        <v>167795.1</v>
      </c>
      <c r="AH27" s="99">
        <v>10169.4</v>
      </c>
      <c r="AI27" s="99">
        <v>9660.93</v>
      </c>
      <c r="AJ27" s="99">
        <v>13728.69</v>
      </c>
      <c r="AK27" s="99">
        <v>27457.38</v>
      </c>
      <c r="AL27" s="99">
        <v>16779.509999999998</v>
      </c>
      <c r="AM27" s="99">
        <v>35084.43</v>
      </c>
      <c r="AN27" s="99">
        <v>19321.86</v>
      </c>
      <c r="AO27" s="99">
        <v>16779.509999999998</v>
      </c>
      <c r="AP27" s="99">
        <v>2695.05</v>
      </c>
      <c r="AQ27" s="99">
        <v>2745.9</v>
      </c>
      <c r="AR27" s="99">
        <v>0</v>
      </c>
      <c r="AS27" s="99">
        <v>0</v>
      </c>
      <c r="AT27" s="99">
        <v>0</v>
      </c>
      <c r="AU27" s="99">
        <v>0</v>
      </c>
      <c r="AV27" s="99">
        <v>0</v>
      </c>
      <c r="AW27" s="99">
        <v>0</v>
      </c>
      <c r="AX27" s="99">
        <v>0</v>
      </c>
      <c r="AY27" s="99">
        <v>0</v>
      </c>
      <c r="AZ27" s="99">
        <v>0</v>
      </c>
      <c r="BA27" s="99">
        <v>0</v>
      </c>
      <c r="BB27" s="99">
        <v>1233</v>
      </c>
      <c r="BC27" s="99">
        <v>1705</v>
      </c>
      <c r="BD27" s="99">
        <v>1398</v>
      </c>
      <c r="BE27" s="99">
        <v>1560</v>
      </c>
      <c r="BF27" s="99">
        <v>881</v>
      </c>
      <c r="BG27" s="99">
        <v>532</v>
      </c>
      <c r="BH27" s="99">
        <v>500</v>
      </c>
      <c r="BI27" s="99">
        <v>515</v>
      </c>
      <c r="BJ27" s="99">
        <v>341</v>
      </c>
      <c r="BK27" s="99">
        <v>278</v>
      </c>
      <c r="BL27" s="99">
        <v>359</v>
      </c>
      <c r="BM27" s="99">
        <v>382</v>
      </c>
      <c r="BN27" s="99">
        <v>435</v>
      </c>
      <c r="BO27" s="99">
        <v>411</v>
      </c>
      <c r="BP27" s="99">
        <v>335</v>
      </c>
      <c r="BQ27" s="99">
        <v>330</v>
      </c>
      <c r="BR27" s="99">
        <v>20</v>
      </c>
      <c r="BS27" s="99">
        <v>19</v>
      </c>
      <c r="BT27" s="99">
        <v>27</v>
      </c>
      <c r="BU27" s="99">
        <v>54</v>
      </c>
      <c r="BV27" s="99">
        <v>33</v>
      </c>
      <c r="BW27" s="99">
        <v>69</v>
      </c>
      <c r="BX27" s="99">
        <v>38</v>
      </c>
      <c r="BY27" s="99">
        <v>33</v>
      </c>
      <c r="BZ27" s="99">
        <v>53</v>
      </c>
      <c r="CA27" s="99">
        <v>54</v>
      </c>
      <c r="CB27" s="99">
        <v>0</v>
      </c>
      <c r="CC27" s="99">
        <v>0</v>
      </c>
      <c r="CD27" s="99">
        <v>0</v>
      </c>
      <c r="CE27" s="99">
        <v>0</v>
      </c>
      <c r="CF27" s="99">
        <v>0</v>
      </c>
      <c r="CG27" s="99">
        <v>0</v>
      </c>
      <c r="CH27" s="99">
        <v>0</v>
      </c>
      <c r="CI27" s="99">
        <v>0</v>
      </c>
      <c r="CJ27" s="99">
        <v>0</v>
      </c>
      <c r="CK27" s="100">
        <v>0</v>
      </c>
    </row>
    <row r="28" spans="1:89">
      <c r="A28" s="78" t="str">
        <f t="shared" si="5"/>
        <v xml:space="preserve"> V3X2</v>
      </c>
      <c r="B28" s="101" t="s">
        <v>215</v>
      </c>
      <c r="C28" s="102" t="str">
        <f>C27</f>
        <v>NANO LEO TOTAL</v>
      </c>
      <c r="D28" s="103" t="str">
        <f>D27</f>
        <v>SANZYME LTD</v>
      </c>
      <c r="E28" s="102" t="s">
        <v>258</v>
      </c>
      <c r="F28" s="103">
        <v>57.63</v>
      </c>
      <c r="G28" s="104">
        <v>2.7615717829999999</v>
      </c>
      <c r="H28" s="104">
        <v>3.6264440250000001</v>
      </c>
      <c r="I28" s="104">
        <v>2.7920260350000001</v>
      </c>
      <c r="J28" s="104">
        <v>1.860352335</v>
      </c>
      <c r="K28" s="104">
        <v>2.5757013209999999</v>
      </c>
      <c r="L28" s="104">
        <v>625.61500000000001</v>
      </c>
      <c r="M28" s="104">
        <v>713.16499999999996</v>
      </c>
      <c r="N28" s="104">
        <v>549.07100000000003</v>
      </c>
      <c r="O28" s="104">
        <v>365.851</v>
      </c>
      <c r="P28" s="104">
        <v>450.577</v>
      </c>
      <c r="Q28" s="104"/>
      <c r="R28" s="104">
        <v>2962724.4</v>
      </c>
      <c r="S28" s="104">
        <v>2275130.7000000002</v>
      </c>
      <c r="T28" s="104">
        <v>2672777.7000000002</v>
      </c>
      <c r="U28" s="104">
        <v>2289470.4</v>
      </c>
      <c r="V28" s="104">
        <v>2473140.6</v>
      </c>
      <c r="W28" s="104">
        <v>2493938.25</v>
      </c>
      <c r="X28" s="104">
        <v>2176634.25</v>
      </c>
      <c r="Y28" s="104">
        <v>2117902.5</v>
      </c>
      <c r="Z28" s="104">
        <v>1881704.25</v>
      </c>
      <c r="AA28" s="104">
        <v>1611487.35</v>
      </c>
      <c r="AB28" s="104">
        <v>2498718.15</v>
      </c>
      <c r="AC28" s="104">
        <v>2466631.7999999998</v>
      </c>
      <c r="AD28" s="104">
        <v>2744527.05</v>
      </c>
      <c r="AE28" s="104">
        <v>2009032.65</v>
      </c>
      <c r="AF28" s="104">
        <v>1252232.1000000001</v>
      </c>
      <c r="AG28" s="104">
        <v>1076596.2</v>
      </c>
      <c r="AH28" s="104">
        <v>782784.9</v>
      </c>
      <c r="AI28" s="104">
        <v>1499210.55</v>
      </c>
      <c r="AJ28" s="104">
        <v>1647845.1</v>
      </c>
      <c r="AK28" s="104">
        <v>1596232.35</v>
      </c>
      <c r="AL28" s="104">
        <v>1440173.7</v>
      </c>
      <c r="AM28" s="104">
        <v>1509075.45</v>
      </c>
      <c r="AN28" s="104">
        <v>1495854.45</v>
      </c>
      <c r="AO28" s="104">
        <v>1549958.85</v>
      </c>
      <c r="AP28" s="104">
        <v>1573044.75</v>
      </c>
      <c r="AQ28" s="104">
        <v>1911471.84</v>
      </c>
      <c r="AR28" s="104">
        <v>2100671.13</v>
      </c>
      <c r="AS28" s="104">
        <v>1831596.66</v>
      </c>
      <c r="AT28" s="104">
        <v>1572895.59</v>
      </c>
      <c r="AU28" s="104">
        <v>1783014.57</v>
      </c>
      <c r="AV28" s="104">
        <v>2165735.4</v>
      </c>
      <c r="AW28" s="104">
        <v>2316495.48</v>
      </c>
      <c r="AX28" s="104">
        <v>2465180.88</v>
      </c>
      <c r="AY28" s="104">
        <v>2290677.2400000002</v>
      </c>
      <c r="AZ28" s="104">
        <v>2494168.77</v>
      </c>
      <c r="BA28" s="104">
        <v>3252060.9</v>
      </c>
      <c r="BB28" s="104">
        <v>58264</v>
      </c>
      <c r="BC28" s="104">
        <v>44742</v>
      </c>
      <c r="BD28" s="104">
        <v>52562</v>
      </c>
      <c r="BE28" s="104">
        <v>45024</v>
      </c>
      <c r="BF28" s="104">
        <v>48636</v>
      </c>
      <c r="BG28" s="104">
        <v>49045</v>
      </c>
      <c r="BH28" s="104">
        <v>42805</v>
      </c>
      <c r="BI28" s="104">
        <v>41650</v>
      </c>
      <c r="BJ28" s="104">
        <v>37005</v>
      </c>
      <c r="BK28" s="104">
        <v>31691</v>
      </c>
      <c r="BL28" s="104">
        <v>49139</v>
      </c>
      <c r="BM28" s="104">
        <v>48508</v>
      </c>
      <c r="BN28" s="104">
        <v>53973</v>
      </c>
      <c r="BO28" s="104">
        <v>39509</v>
      </c>
      <c r="BP28" s="104">
        <v>24626</v>
      </c>
      <c r="BQ28" s="104">
        <v>21172</v>
      </c>
      <c r="BR28" s="104">
        <v>15394</v>
      </c>
      <c r="BS28" s="104">
        <v>29483</v>
      </c>
      <c r="BT28" s="104">
        <v>32406</v>
      </c>
      <c r="BU28" s="104">
        <v>31391</v>
      </c>
      <c r="BV28" s="104">
        <v>28322</v>
      </c>
      <c r="BW28" s="104">
        <v>29677</v>
      </c>
      <c r="BX28" s="104">
        <v>29417</v>
      </c>
      <c r="BY28" s="104">
        <v>30481</v>
      </c>
      <c r="BZ28" s="104">
        <v>30935</v>
      </c>
      <c r="CA28" s="104">
        <v>33168</v>
      </c>
      <c r="CB28" s="104">
        <v>36451</v>
      </c>
      <c r="CC28" s="104">
        <v>31782</v>
      </c>
      <c r="CD28" s="104">
        <v>27293</v>
      </c>
      <c r="CE28" s="104">
        <v>30939</v>
      </c>
      <c r="CF28" s="104">
        <v>37580</v>
      </c>
      <c r="CG28" s="104">
        <v>40196</v>
      </c>
      <c r="CH28" s="104">
        <v>42776</v>
      </c>
      <c r="CI28" s="104">
        <v>39748</v>
      </c>
      <c r="CJ28" s="104">
        <v>43279</v>
      </c>
      <c r="CK28" s="105">
        <v>56430</v>
      </c>
    </row>
    <row r="29" spans="1:89">
      <c r="A29" s="78" t="str">
        <f t="shared" si="5"/>
        <v xml:space="preserve"> V3X2</v>
      </c>
      <c r="B29" s="96" t="s">
        <v>215</v>
      </c>
      <c r="C29" s="97" t="s">
        <v>259</v>
      </c>
      <c r="D29" s="98" t="s">
        <v>260</v>
      </c>
      <c r="E29" s="97" t="s">
        <v>261</v>
      </c>
      <c r="F29" s="98">
        <v>155.86000000000001</v>
      </c>
      <c r="G29" s="99">
        <v>3.2068523369999999</v>
      </c>
      <c r="H29" s="99">
        <v>3.6416221420000001</v>
      </c>
      <c r="I29" s="99">
        <v>3.7204405440000001</v>
      </c>
      <c r="J29" s="99">
        <v>2.6047323200000001</v>
      </c>
      <c r="K29" s="99">
        <v>2.396207226</v>
      </c>
      <c r="L29" s="99">
        <v>198.066</v>
      </c>
      <c r="M29" s="99">
        <v>233.64699999999999</v>
      </c>
      <c r="N29" s="99">
        <v>238.70400000000001</v>
      </c>
      <c r="O29" s="99">
        <v>167.12</v>
      </c>
      <c r="P29" s="99">
        <v>153.74100000000001</v>
      </c>
      <c r="Q29" s="99"/>
      <c r="R29" s="99">
        <v>3998276.58</v>
      </c>
      <c r="S29" s="99">
        <v>3199338.22</v>
      </c>
      <c r="T29" s="99">
        <v>2021348.34</v>
      </c>
      <c r="U29" s="99">
        <v>2223810.48</v>
      </c>
      <c r="V29" s="99">
        <v>2674557.6</v>
      </c>
      <c r="W29" s="99">
        <v>2178143.5</v>
      </c>
      <c r="X29" s="99">
        <v>2520723.7799999998</v>
      </c>
      <c r="Y29" s="99">
        <v>3735496.62</v>
      </c>
      <c r="Z29" s="99">
        <v>2927050.8</v>
      </c>
      <c r="AA29" s="99">
        <v>4165514.36</v>
      </c>
      <c r="AB29" s="99">
        <v>4473026.1399999997</v>
      </c>
      <c r="AC29" s="99">
        <v>3087119.02</v>
      </c>
      <c r="AD29" s="99">
        <v>3396656.98</v>
      </c>
      <c r="AE29" s="99">
        <v>2978328.74</v>
      </c>
      <c r="AF29" s="99">
        <v>1509971.68</v>
      </c>
      <c r="AG29" s="99">
        <v>769169.1</v>
      </c>
      <c r="AH29" s="99">
        <v>1164741.78</v>
      </c>
      <c r="AI29" s="99">
        <v>2230824.1800000002</v>
      </c>
      <c r="AJ29" s="99">
        <v>2492668.98</v>
      </c>
      <c r="AK29" s="99">
        <v>2958222.8</v>
      </c>
      <c r="AL29" s="99">
        <v>1342422.18</v>
      </c>
      <c r="AM29" s="99">
        <v>2156011.38</v>
      </c>
      <c r="AN29" s="99">
        <v>2660530.2000000002</v>
      </c>
      <c r="AO29" s="99">
        <v>2387775.2000000002</v>
      </c>
      <c r="AP29" s="99">
        <v>2550960.62</v>
      </c>
      <c r="AQ29" s="99">
        <v>1871878.6</v>
      </c>
      <c r="AR29" s="99">
        <v>2768697.04</v>
      </c>
      <c r="AS29" s="99">
        <v>1532727.24</v>
      </c>
      <c r="AT29" s="99">
        <v>1435003.02</v>
      </c>
      <c r="AU29" s="99">
        <v>2170506.36</v>
      </c>
      <c r="AV29" s="99">
        <v>1833537.04</v>
      </c>
      <c r="AW29" s="99">
        <v>1965082.88</v>
      </c>
      <c r="AX29" s="99">
        <v>1902894.74</v>
      </c>
      <c r="AY29" s="99">
        <v>1838368.7</v>
      </c>
      <c r="AZ29" s="99">
        <v>1937183.94</v>
      </c>
      <c r="BA29" s="99">
        <v>2155232.08</v>
      </c>
      <c r="BB29" s="99">
        <v>25653</v>
      </c>
      <c r="BC29" s="99">
        <v>20527</v>
      </c>
      <c r="BD29" s="99">
        <v>12969</v>
      </c>
      <c r="BE29" s="99">
        <v>14268</v>
      </c>
      <c r="BF29" s="99">
        <v>17160</v>
      </c>
      <c r="BG29" s="99">
        <v>13975</v>
      </c>
      <c r="BH29" s="99">
        <v>16173</v>
      </c>
      <c r="BI29" s="99">
        <v>23967</v>
      </c>
      <c r="BJ29" s="99">
        <v>18780</v>
      </c>
      <c r="BK29" s="99">
        <v>26726</v>
      </c>
      <c r="BL29" s="99">
        <v>28699</v>
      </c>
      <c r="BM29" s="99">
        <v>19807</v>
      </c>
      <c r="BN29" s="99">
        <v>21793</v>
      </c>
      <c r="BO29" s="99">
        <v>19109</v>
      </c>
      <c r="BP29" s="99">
        <v>9688</v>
      </c>
      <c r="BQ29" s="99">
        <v>4935</v>
      </c>
      <c r="BR29" s="99">
        <v>7473</v>
      </c>
      <c r="BS29" s="99">
        <v>14313</v>
      </c>
      <c r="BT29" s="99">
        <v>15993</v>
      </c>
      <c r="BU29" s="99">
        <v>18980</v>
      </c>
      <c r="BV29" s="99">
        <v>8613</v>
      </c>
      <c r="BW29" s="99">
        <v>13833</v>
      </c>
      <c r="BX29" s="99">
        <v>17070</v>
      </c>
      <c r="BY29" s="99">
        <v>15320</v>
      </c>
      <c r="BZ29" s="99">
        <v>16367</v>
      </c>
      <c r="CA29" s="99">
        <v>12010</v>
      </c>
      <c r="CB29" s="99">
        <v>17764</v>
      </c>
      <c r="CC29" s="99">
        <v>9834</v>
      </c>
      <c r="CD29" s="99">
        <v>9207</v>
      </c>
      <c r="CE29" s="99">
        <v>13926</v>
      </c>
      <c r="CF29" s="99">
        <v>11764</v>
      </c>
      <c r="CG29" s="99">
        <v>12608</v>
      </c>
      <c r="CH29" s="99">
        <v>12209</v>
      </c>
      <c r="CI29" s="99">
        <v>11795</v>
      </c>
      <c r="CJ29" s="99">
        <v>12429</v>
      </c>
      <c r="CK29" s="100">
        <v>13828</v>
      </c>
    </row>
    <row r="30" spans="1:89">
      <c r="A30" s="78" t="str">
        <f t="shared" si="5"/>
        <v xml:space="preserve"> V3X2</v>
      </c>
      <c r="B30" s="101" t="s">
        <v>215</v>
      </c>
      <c r="C30" s="102" t="s">
        <v>262</v>
      </c>
      <c r="D30" s="103" t="s">
        <v>263</v>
      </c>
      <c r="E30" s="102" t="s">
        <v>264</v>
      </c>
      <c r="F30" s="103">
        <v>338.31</v>
      </c>
      <c r="G30" s="104">
        <v>0.86671713399999994</v>
      </c>
      <c r="H30" s="104">
        <v>1.7391738779999999</v>
      </c>
      <c r="I30" s="104">
        <v>2.230764492</v>
      </c>
      <c r="J30" s="104">
        <v>2.0575908530000002</v>
      </c>
      <c r="K30" s="104">
        <v>2.2512838949999998</v>
      </c>
      <c r="L30" s="104">
        <v>31.707000000000001</v>
      </c>
      <c r="M30" s="104">
        <v>62.601999999999997</v>
      </c>
      <c r="N30" s="104">
        <v>72.012</v>
      </c>
      <c r="O30" s="104">
        <v>62.71</v>
      </c>
      <c r="P30" s="104">
        <v>66.545000000000002</v>
      </c>
      <c r="Q30" s="104"/>
      <c r="R30" s="104">
        <v>2231113.3199999998</v>
      </c>
      <c r="S30" s="104">
        <v>2229044.19</v>
      </c>
      <c r="T30" s="104">
        <v>2310331.44</v>
      </c>
      <c r="U30" s="104">
        <v>1660033.44</v>
      </c>
      <c r="V30" s="104">
        <v>1513125.21</v>
      </c>
      <c r="W30" s="104">
        <v>1219013.1599999999</v>
      </c>
      <c r="X30" s="104">
        <v>1522314.76</v>
      </c>
      <c r="Y30" s="104">
        <v>1725702.26</v>
      </c>
      <c r="Z30" s="104">
        <v>1712685.46</v>
      </c>
      <c r="AA30" s="104">
        <v>1871815.84</v>
      </c>
      <c r="AB30" s="104">
        <v>2070322.04</v>
      </c>
      <c r="AC30" s="104">
        <v>2242143.7999999998</v>
      </c>
      <c r="AD30" s="104">
        <v>2600756.64</v>
      </c>
      <c r="AE30" s="104">
        <v>2911858.16</v>
      </c>
      <c r="AF30" s="104">
        <v>2330658.04</v>
      </c>
      <c r="AG30" s="104">
        <v>1339428.72</v>
      </c>
      <c r="AH30" s="104">
        <v>1262955.02</v>
      </c>
      <c r="AI30" s="104">
        <v>1350818.42</v>
      </c>
      <c r="AJ30" s="104">
        <v>1579914.1</v>
      </c>
      <c r="AK30" s="104">
        <v>1362208.12</v>
      </c>
      <c r="AL30" s="104">
        <v>1406465.24</v>
      </c>
      <c r="AM30" s="104">
        <v>1816048.08</v>
      </c>
      <c r="AN30" s="104">
        <v>1168184.43</v>
      </c>
      <c r="AO30" s="104">
        <v>1446613.56</v>
      </c>
      <c r="AP30" s="104">
        <v>1774435.95</v>
      </c>
      <c r="AQ30" s="104">
        <v>2055233.25</v>
      </c>
      <c r="AR30" s="104">
        <v>2122895.25</v>
      </c>
      <c r="AS30" s="104">
        <v>1899272.34</v>
      </c>
      <c r="AT30" s="104">
        <v>1300801.95</v>
      </c>
      <c r="AU30" s="104">
        <v>1573479.81</v>
      </c>
      <c r="AV30" s="104">
        <v>1904008.68</v>
      </c>
      <c r="AW30" s="104">
        <v>2360050.56</v>
      </c>
      <c r="AX30" s="104">
        <v>2066397.48</v>
      </c>
      <c r="AY30" s="104">
        <v>1574156.43</v>
      </c>
      <c r="AZ30" s="104">
        <v>1970655.75</v>
      </c>
      <c r="BA30" s="104">
        <v>1911451.5</v>
      </c>
      <c r="BB30" s="104">
        <v>7548</v>
      </c>
      <c r="BC30" s="104">
        <v>7541</v>
      </c>
      <c r="BD30" s="104">
        <v>7816</v>
      </c>
      <c r="BE30" s="104">
        <v>5616</v>
      </c>
      <c r="BF30" s="104">
        <v>5119</v>
      </c>
      <c r="BG30" s="104">
        <v>4124</v>
      </c>
      <c r="BH30" s="104">
        <v>4678</v>
      </c>
      <c r="BI30" s="104">
        <v>5303</v>
      </c>
      <c r="BJ30" s="104">
        <v>5263</v>
      </c>
      <c r="BK30" s="104">
        <v>5752</v>
      </c>
      <c r="BL30" s="104">
        <v>6362</v>
      </c>
      <c r="BM30" s="104">
        <v>6890</v>
      </c>
      <c r="BN30" s="104">
        <v>7992</v>
      </c>
      <c r="BO30" s="104">
        <v>8948</v>
      </c>
      <c r="BP30" s="104">
        <v>7162</v>
      </c>
      <c r="BQ30" s="104">
        <v>4116</v>
      </c>
      <c r="BR30" s="104">
        <v>3881</v>
      </c>
      <c r="BS30" s="104">
        <v>4151</v>
      </c>
      <c r="BT30" s="104">
        <v>4855</v>
      </c>
      <c r="BU30" s="104">
        <v>4186</v>
      </c>
      <c r="BV30" s="104">
        <v>4322</v>
      </c>
      <c r="BW30" s="104">
        <v>5368</v>
      </c>
      <c r="BX30" s="104">
        <v>3453</v>
      </c>
      <c r="BY30" s="104">
        <v>4276</v>
      </c>
      <c r="BZ30" s="104">
        <v>5245</v>
      </c>
      <c r="CA30" s="104">
        <v>6075</v>
      </c>
      <c r="CB30" s="104">
        <v>6275</v>
      </c>
      <c r="CC30" s="104">
        <v>5614</v>
      </c>
      <c r="CD30" s="104">
        <v>3845</v>
      </c>
      <c r="CE30" s="104">
        <v>4651</v>
      </c>
      <c r="CF30" s="104">
        <v>5628</v>
      </c>
      <c r="CG30" s="104">
        <v>6976</v>
      </c>
      <c r="CH30" s="104">
        <v>6108</v>
      </c>
      <c r="CI30" s="104">
        <v>4653</v>
      </c>
      <c r="CJ30" s="104">
        <v>5825</v>
      </c>
      <c r="CK30" s="105">
        <v>5650</v>
      </c>
    </row>
    <row r="31" spans="1:89">
      <c r="A31" s="78" t="str">
        <f t="shared" si="5"/>
        <v xml:space="preserve"> V3X2</v>
      </c>
      <c r="B31" s="96" t="s">
        <v>215</v>
      </c>
      <c r="C31" s="97" t="s">
        <v>265</v>
      </c>
      <c r="D31" s="98" t="s">
        <v>266</v>
      </c>
      <c r="E31" s="97" t="s">
        <v>267</v>
      </c>
      <c r="F31" s="98">
        <v>163.69</v>
      </c>
      <c r="G31" s="99">
        <v>1.8967835820000001</v>
      </c>
      <c r="H31" s="99">
        <v>2.036296375</v>
      </c>
      <c r="I31" s="99">
        <v>1.4632499999999999</v>
      </c>
      <c r="J31" s="99">
        <v>0.98359154199999999</v>
      </c>
      <c r="K31" s="99">
        <v>1.48833992</v>
      </c>
      <c r="L31" s="99">
        <v>131.55600000000001</v>
      </c>
      <c r="M31" s="99">
        <v>138.76900000000001</v>
      </c>
      <c r="N31" s="99">
        <v>93.647999999999996</v>
      </c>
      <c r="O31" s="99">
        <v>61.485999999999997</v>
      </c>
      <c r="P31" s="99">
        <v>91.052000000000007</v>
      </c>
      <c r="Q31" s="99"/>
      <c r="R31" s="99">
        <v>2439843.75</v>
      </c>
      <c r="S31" s="99">
        <v>1222500</v>
      </c>
      <c r="T31" s="99">
        <v>1560937.5</v>
      </c>
      <c r="U31" s="99">
        <v>992500</v>
      </c>
      <c r="V31" s="99">
        <v>829687.5</v>
      </c>
      <c r="W31" s="99">
        <v>864375</v>
      </c>
      <c r="X31" s="99">
        <v>979218.75</v>
      </c>
      <c r="Y31" s="99">
        <v>774687.5</v>
      </c>
      <c r="Z31" s="99">
        <v>961406.25</v>
      </c>
      <c r="AA31" s="99">
        <v>1163281.25</v>
      </c>
      <c r="AB31" s="99">
        <v>1410156.25</v>
      </c>
      <c r="AC31" s="99">
        <v>1433906.25</v>
      </c>
      <c r="AD31" s="99">
        <v>1365024.01</v>
      </c>
      <c r="AE31" s="99">
        <v>347134.9</v>
      </c>
      <c r="AF31" s="99">
        <v>514943.43</v>
      </c>
      <c r="AG31" s="99">
        <v>410642.99</v>
      </c>
      <c r="AH31" s="99">
        <v>437677.92</v>
      </c>
      <c r="AI31" s="99">
        <v>428879.57</v>
      </c>
      <c r="AJ31" s="99">
        <v>448235.94</v>
      </c>
      <c r="AK31" s="99">
        <v>463433.09</v>
      </c>
      <c r="AL31" s="99">
        <v>470951.67999999999</v>
      </c>
      <c r="AM31" s="99">
        <v>364091.72</v>
      </c>
      <c r="AN31" s="99">
        <v>2212705.04</v>
      </c>
      <c r="AO31" s="99">
        <v>2372195.13</v>
      </c>
      <c r="AP31" s="99">
        <v>525981.36</v>
      </c>
      <c r="AQ31" s="99">
        <v>372890.07</v>
      </c>
      <c r="AR31" s="99">
        <v>368957.26</v>
      </c>
      <c r="AS31" s="99">
        <v>232767.18</v>
      </c>
      <c r="AT31" s="99">
        <v>220490.43</v>
      </c>
      <c r="AU31" s="99">
        <v>253064.74</v>
      </c>
      <c r="AV31" s="99">
        <v>349805.53</v>
      </c>
      <c r="AW31" s="99">
        <v>1001946.49</v>
      </c>
      <c r="AX31" s="99">
        <v>4453186.45</v>
      </c>
      <c r="AY31" s="99">
        <v>3039559.61</v>
      </c>
      <c r="AZ31" s="99">
        <v>2227984.59</v>
      </c>
      <c r="BA31" s="99">
        <v>1836765.49</v>
      </c>
      <c r="BB31" s="99">
        <v>15615</v>
      </c>
      <c r="BC31" s="99">
        <v>7824</v>
      </c>
      <c r="BD31" s="99">
        <v>9990</v>
      </c>
      <c r="BE31" s="99">
        <v>6352</v>
      </c>
      <c r="BF31" s="99">
        <v>5310</v>
      </c>
      <c r="BG31" s="99">
        <v>5532</v>
      </c>
      <c r="BH31" s="99">
        <v>6267</v>
      </c>
      <c r="BI31" s="99">
        <v>4958</v>
      </c>
      <c r="BJ31" s="99">
        <v>6153</v>
      </c>
      <c r="BK31" s="99">
        <v>7445</v>
      </c>
      <c r="BL31" s="99">
        <v>9025</v>
      </c>
      <c r="BM31" s="99">
        <v>9177</v>
      </c>
      <c r="BN31" s="99">
        <v>8533</v>
      </c>
      <c r="BO31" s="99">
        <v>2170</v>
      </c>
      <c r="BP31" s="99">
        <v>3219</v>
      </c>
      <c r="BQ31" s="99">
        <v>2567</v>
      </c>
      <c r="BR31" s="99">
        <v>2736</v>
      </c>
      <c r="BS31" s="99">
        <v>2681</v>
      </c>
      <c r="BT31" s="99">
        <v>2802</v>
      </c>
      <c r="BU31" s="99">
        <v>2897</v>
      </c>
      <c r="BV31" s="99">
        <v>2944</v>
      </c>
      <c r="BW31" s="99">
        <v>2276</v>
      </c>
      <c r="BX31" s="99">
        <v>13832</v>
      </c>
      <c r="BY31" s="99">
        <v>14829</v>
      </c>
      <c r="BZ31" s="99">
        <v>3288</v>
      </c>
      <c r="CA31" s="99">
        <v>2331</v>
      </c>
      <c r="CB31" s="99">
        <v>2254</v>
      </c>
      <c r="CC31" s="99">
        <v>1422</v>
      </c>
      <c r="CD31" s="99">
        <v>1347</v>
      </c>
      <c r="CE31" s="99">
        <v>1546</v>
      </c>
      <c r="CF31" s="99">
        <v>2137</v>
      </c>
      <c r="CG31" s="99">
        <v>6121</v>
      </c>
      <c r="CH31" s="99">
        <v>27205</v>
      </c>
      <c r="CI31" s="99">
        <v>18569</v>
      </c>
      <c r="CJ31" s="99">
        <v>13611</v>
      </c>
      <c r="CK31" s="100">
        <v>11221</v>
      </c>
    </row>
    <row r="32" spans="1:89">
      <c r="A32" s="78" t="str">
        <f t="shared" si="5"/>
        <v xml:space="preserve"> V3X2</v>
      </c>
      <c r="B32" s="101" t="s">
        <v>215</v>
      </c>
      <c r="C32" s="102" t="str">
        <f>C31</f>
        <v>VIGOREX</v>
      </c>
      <c r="D32" s="103" t="str">
        <f>D31</f>
        <v>ZANDU PHARMACEUTICALS WORKS LTD</v>
      </c>
      <c r="E32" s="102" t="s">
        <v>268</v>
      </c>
      <c r="F32" s="103">
        <v>227</v>
      </c>
      <c r="G32" s="104">
        <v>0</v>
      </c>
      <c r="H32" s="104">
        <v>2.261E-3</v>
      </c>
      <c r="I32" s="104">
        <v>1.1941744000000001E-2</v>
      </c>
      <c r="J32" s="104">
        <v>9.3977999999999996E-3</v>
      </c>
      <c r="K32" s="104">
        <v>4.7216000000000003E-3</v>
      </c>
      <c r="L32" s="104">
        <v>0</v>
      </c>
      <c r="M32" s="104">
        <v>8.5000000000000006E-2</v>
      </c>
      <c r="N32" s="104">
        <v>0.505</v>
      </c>
      <c r="O32" s="104">
        <v>0.41399999999999998</v>
      </c>
      <c r="P32" s="104">
        <v>0.20799999999999999</v>
      </c>
      <c r="Q32" s="104"/>
      <c r="R32" s="104">
        <v>0</v>
      </c>
      <c r="S32" s="104">
        <v>0</v>
      </c>
      <c r="T32" s="104">
        <v>24206</v>
      </c>
      <c r="U32" s="104">
        <v>0</v>
      </c>
      <c r="V32" s="104">
        <v>0</v>
      </c>
      <c r="W32" s="104">
        <v>0</v>
      </c>
      <c r="X32" s="104">
        <v>0</v>
      </c>
      <c r="Y32" s="104">
        <v>0</v>
      </c>
      <c r="Z32" s="104">
        <v>232.93</v>
      </c>
      <c r="AA32" s="104">
        <v>48216.51</v>
      </c>
      <c r="AB32" s="104">
        <v>32007</v>
      </c>
      <c r="AC32" s="104">
        <v>14755</v>
      </c>
      <c r="AD32" s="104">
        <v>24970</v>
      </c>
      <c r="AE32" s="104">
        <v>0</v>
      </c>
      <c r="AF32" s="104">
        <v>227</v>
      </c>
      <c r="AG32" s="104">
        <v>9761</v>
      </c>
      <c r="AH32" s="104">
        <v>0</v>
      </c>
      <c r="AI32" s="104">
        <v>681</v>
      </c>
      <c r="AJ32" s="104">
        <v>17479</v>
      </c>
      <c r="AK32" s="104">
        <v>16571</v>
      </c>
      <c r="AL32" s="104">
        <v>24289</v>
      </c>
      <c r="AM32" s="104">
        <v>0</v>
      </c>
      <c r="AN32" s="104">
        <v>0</v>
      </c>
      <c r="AO32" s="104">
        <v>0</v>
      </c>
      <c r="AP32" s="104">
        <v>0</v>
      </c>
      <c r="AQ32" s="104">
        <v>0</v>
      </c>
      <c r="AR32" s="104">
        <v>0</v>
      </c>
      <c r="AS32" s="104">
        <v>681</v>
      </c>
      <c r="AT32" s="104">
        <v>46308</v>
      </c>
      <c r="AU32" s="104">
        <v>0</v>
      </c>
      <c r="AV32" s="104">
        <v>0</v>
      </c>
      <c r="AW32" s="104">
        <v>0</v>
      </c>
      <c r="AX32" s="104">
        <v>0</v>
      </c>
      <c r="AY32" s="104">
        <v>0</v>
      </c>
      <c r="AZ32" s="104">
        <v>0</v>
      </c>
      <c r="BA32" s="104">
        <v>227</v>
      </c>
      <c r="BB32" s="104">
        <v>0</v>
      </c>
      <c r="BC32" s="104">
        <v>0</v>
      </c>
      <c r="BD32" s="104">
        <v>91</v>
      </c>
      <c r="BE32" s="104">
        <v>0</v>
      </c>
      <c r="BF32" s="104">
        <v>0</v>
      </c>
      <c r="BG32" s="104">
        <v>0</v>
      </c>
      <c r="BH32" s="104">
        <v>0</v>
      </c>
      <c r="BI32" s="104">
        <v>0</v>
      </c>
      <c r="BJ32" s="104">
        <v>1</v>
      </c>
      <c r="BK32" s="104">
        <v>207</v>
      </c>
      <c r="BL32" s="104">
        <v>141</v>
      </c>
      <c r="BM32" s="104">
        <v>65</v>
      </c>
      <c r="BN32" s="104">
        <v>110</v>
      </c>
      <c r="BO32" s="104">
        <v>0</v>
      </c>
      <c r="BP32" s="104">
        <v>1</v>
      </c>
      <c r="BQ32" s="104">
        <v>43</v>
      </c>
      <c r="BR32" s="104">
        <v>0</v>
      </c>
      <c r="BS32" s="104">
        <v>3</v>
      </c>
      <c r="BT32" s="104">
        <v>77</v>
      </c>
      <c r="BU32" s="104">
        <v>73</v>
      </c>
      <c r="BV32" s="104">
        <v>107</v>
      </c>
      <c r="BW32" s="104">
        <v>0</v>
      </c>
      <c r="BX32" s="104">
        <v>0</v>
      </c>
      <c r="BY32" s="104">
        <v>0</v>
      </c>
      <c r="BZ32" s="104">
        <v>0</v>
      </c>
      <c r="CA32" s="104">
        <v>0</v>
      </c>
      <c r="CB32" s="104">
        <v>0</v>
      </c>
      <c r="CC32" s="104">
        <v>3</v>
      </c>
      <c r="CD32" s="104">
        <v>204</v>
      </c>
      <c r="CE32" s="104">
        <v>0</v>
      </c>
      <c r="CF32" s="104">
        <v>0</v>
      </c>
      <c r="CG32" s="104">
        <v>0</v>
      </c>
      <c r="CH32" s="104">
        <v>0</v>
      </c>
      <c r="CI32" s="104">
        <v>0</v>
      </c>
      <c r="CJ32" s="104">
        <v>0</v>
      </c>
      <c r="CK32" s="105">
        <v>1</v>
      </c>
    </row>
    <row r="33" spans="1:89">
      <c r="A33" s="78" t="str">
        <f t="shared" si="5"/>
        <v xml:space="preserve"> V3X2</v>
      </c>
      <c r="B33" s="96" t="s">
        <v>215</v>
      </c>
      <c r="C33" s="97" t="s">
        <v>269</v>
      </c>
      <c r="D33" s="98" t="s">
        <v>263</v>
      </c>
      <c r="E33" s="97" t="s">
        <v>270</v>
      </c>
      <c r="F33" s="98">
        <v>117.97</v>
      </c>
      <c r="G33" s="99">
        <v>2.2149573020000002</v>
      </c>
      <c r="H33" s="99">
        <v>2.29697416</v>
      </c>
      <c r="I33" s="99">
        <v>2.3932914150000002</v>
      </c>
      <c r="J33" s="99">
        <v>1.43604881</v>
      </c>
      <c r="K33" s="99">
        <v>1.3796591499999999</v>
      </c>
      <c r="L33" s="99">
        <v>207.91300000000001</v>
      </c>
      <c r="M33" s="99">
        <v>214.43</v>
      </c>
      <c r="N33" s="99">
        <v>213.67</v>
      </c>
      <c r="O33" s="99">
        <v>121.73</v>
      </c>
      <c r="P33" s="99">
        <v>116.95</v>
      </c>
      <c r="Q33" s="99"/>
      <c r="R33" s="99">
        <v>3023676.24</v>
      </c>
      <c r="S33" s="99">
        <v>2622833.2000000002</v>
      </c>
      <c r="T33" s="99">
        <v>2619191.12</v>
      </c>
      <c r="U33" s="99">
        <v>2357604.08</v>
      </c>
      <c r="V33" s="99">
        <v>1952047.76</v>
      </c>
      <c r="W33" s="99">
        <v>2018230.76</v>
      </c>
      <c r="X33" s="99">
        <v>1439469.94</v>
      </c>
      <c r="Y33" s="99">
        <v>1567467.39</v>
      </c>
      <c r="Z33" s="99">
        <v>1461648.3</v>
      </c>
      <c r="AA33" s="99">
        <v>1192912.6399999999</v>
      </c>
      <c r="AB33" s="99">
        <v>1881975.41</v>
      </c>
      <c r="AC33" s="99">
        <v>1795857.31</v>
      </c>
      <c r="AD33" s="99">
        <v>1802935.51</v>
      </c>
      <c r="AE33" s="99">
        <v>1721654.18</v>
      </c>
      <c r="AF33" s="99">
        <v>1572186.19</v>
      </c>
      <c r="AG33" s="99">
        <v>980094.76</v>
      </c>
      <c r="AH33" s="99">
        <v>1019496.74</v>
      </c>
      <c r="AI33" s="99">
        <v>1163656.08</v>
      </c>
      <c r="AJ33" s="99">
        <v>1037900.06</v>
      </c>
      <c r="AK33" s="99">
        <v>894920.42</v>
      </c>
      <c r="AL33" s="99">
        <v>1111985.22</v>
      </c>
      <c r="AM33" s="99">
        <v>955792.94</v>
      </c>
      <c r="AN33" s="99">
        <v>950248.35</v>
      </c>
      <c r="AO33" s="99">
        <v>1149617.6499999999</v>
      </c>
      <c r="AP33" s="99">
        <v>1156223.97</v>
      </c>
      <c r="AQ33" s="99">
        <v>1483354.78</v>
      </c>
      <c r="AR33" s="99">
        <v>1253077.3400000001</v>
      </c>
      <c r="AS33" s="99">
        <v>912497.95</v>
      </c>
      <c r="AT33" s="99">
        <v>960983.62</v>
      </c>
      <c r="AU33" s="99">
        <v>766097.18</v>
      </c>
      <c r="AV33" s="99">
        <v>1283159.69</v>
      </c>
      <c r="AW33" s="99">
        <v>1454924.01</v>
      </c>
      <c r="AX33" s="99">
        <v>1141123.81</v>
      </c>
      <c r="AY33" s="99">
        <v>1071285.57</v>
      </c>
      <c r="AZ33" s="99">
        <v>1342380.63</v>
      </c>
      <c r="BA33" s="99">
        <v>971482.95</v>
      </c>
      <c r="BB33" s="99">
        <v>28227</v>
      </c>
      <c r="BC33" s="99">
        <v>24485</v>
      </c>
      <c r="BD33" s="99">
        <v>24451</v>
      </c>
      <c r="BE33" s="99">
        <v>22009</v>
      </c>
      <c r="BF33" s="99">
        <v>18223</v>
      </c>
      <c r="BG33" s="99">
        <v>17108</v>
      </c>
      <c r="BH33" s="99">
        <v>12202</v>
      </c>
      <c r="BI33" s="99">
        <v>13287</v>
      </c>
      <c r="BJ33" s="99">
        <v>12390</v>
      </c>
      <c r="BK33" s="99">
        <v>10112</v>
      </c>
      <c r="BL33" s="99">
        <v>15953</v>
      </c>
      <c r="BM33" s="99">
        <v>15223</v>
      </c>
      <c r="BN33" s="99">
        <v>15283</v>
      </c>
      <c r="BO33" s="99">
        <v>14594</v>
      </c>
      <c r="BP33" s="99">
        <v>13327</v>
      </c>
      <c r="BQ33" s="99">
        <v>8308</v>
      </c>
      <c r="BR33" s="99">
        <v>8642</v>
      </c>
      <c r="BS33" s="99">
        <v>9864</v>
      </c>
      <c r="BT33" s="99">
        <v>8798</v>
      </c>
      <c r="BU33" s="99">
        <v>7586</v>
      </c>
      <c r="BV33" s="99">
        <v>9426</v>
      </c>
      <c r="BW33" s="99">
        <v>8102</v>
      </c>
      <c r="BX33" s="99">
        <v>8055</v>
      </c>
      <c r="BY33" s="99">
        <v>9745</v>
      </c>
      <c r="BZ33" s="99">
        <v>9801</v>
      </c>
      <c r="CA33" s="99">
        <v>12574</v>
      </c>
      <c r="CB33" s="99">
        <v>10622</v>
      </c>
      <c r="CC33" s="99">
        <v>7735</v>
      </c>
      <c r="CD33" s="99">
        <v>8146</v>
      </c>
      <c r="CE33" s="99">
        <v>6494</v>
      </c>
      <c r="CF33" s="99">
        <v>10877</v>
      </c>
      <c r="CG33" s="99">
        <v>12333</v>
      </c>
      <c r="CH33" s="99">
        <v>9673</v>
      </c>
      <c r="CI33" s="99">
        <v>9081</v>
      </c>
      <c r="CJ33" s="99">
        <v>11379</v>
      </c>
      <c r="CK33" s="100">
        <v>8235</v>
      </c>
    </row>
    <row r="34" spans="1:89">
      <c r="A34" s="78" t="str">
        <f t="shared" si="5"/>
        <v xml:space="preserve"> V3X2</v>
      </c>
      <c r="B34" s="101" t="s">
        <v>215</v>
      </c>
      <c r="C34" s="102" t="s">
        <v>271</v>
      </c>
      <c r="D34" s="103" t="s">
        <v>222</v>
      </c>
      <c r="E34" s="102" t="s">
        <v>272</v>
      </c>
      <c r="F34" s="103">
        <v>112</v>
      </c>
      <c r="G34" s="104">
        <v>3.2110399999999997E-2</v>
      </c>
      <c r="H34" s="104">
        <v>4.2671999999999996E-3</v>
      </c>
      <c r="I34" s="104">
        <v>2.2623999999999999E-3</v>
      </c>
      <c r="J34" s="104">
        <v>2.1167999999999998E-3</v>
      </c>
      <c r="K34" s="104">
        <v>2.0159999999999999E-4</v>
      </c>
      <c r="L34" s="104">
        <v>2.867</v>
      </c>
      <c r="M34" s="104">
        <v>0.38100000000000001</v>
      </c>
      <c r="N34" s="104">
        <v>0.20200000000000001</v>
      </c>
      <c r="O34" s="104">
        <v>0.189</v>
      </c>
      <c r="P34" s="104">
        <v>1.7999999999999999E-2</v>
      </c>
      <c r="Q34" s="104"/>
      <c r="R34" s="104">
        <v>0</v>
      </c>
      <c r="S34" s="104">
        <v>1904</v>
      </c>
      <c r="T34" s="104">
        <v>2352</v>
      </c>
      <c r="U34" s="104">
        <v>0</v>
      </c>
      <c r="V34" s="104">
        <v>5712</v>
      </c>
      <c r="W34" s="104">
        <v>11984</v>
      </c>
      <c r="X34" s="104">
        <v>0</v>
      </c>
      <c r="Y34" s="104">
        <v>0</v>
      </c>
      <c r="Z34" s="104">
        <v>0</v>
      </c>
      <c r="AA34" s="104">
        <v>0</v>
      </c>
      <c r="AB34" s="104">
        <v>0</v>
      </c>
      <c r="AC34" s="104">
        <v>672</v>
      </c>
      <c r="AD34" s="104">
        <v>2576</v>
      </c>
      <c r="AE34" s="104">
        <v>4704</v>
      </c>
      <c r="AF34" s="104">
        <v>6048</v>
      </c>
      <c r="AG34" s="104">
        <v>7840</v>
      </c>
      <c r="AH34" s="104">
        <v>0</v>
      </c>
      <c r="AI34" s="104">
        <v>0</v>
      </c>
      <c r="AJ34" s="104">
        <v>0</v>
      </c>
      <c r="AK34" s="104">
        <v>0</v>
      </c>
      <c r="AL34" s="104">
        <v>0</v>
      </c>
      <c r="AM34" s="104">
        <v>0</v>
      </c>
      <c r="AN34" s="104">
        <v>0</v>
      </c>
      <c r="AO34" s="104">
        <v>0</v>
      </c>
      <c r="AP34" s="104">
        <v>0</v>
      </c>
      <c r="AQ34" s="104">
        <v>0</v>
      </c>
      <c r="AR34" s="104">
        <v>0</v>
      </c>
      <c r="AS34" s="104">
        <v>0</v>
      </c>
      <c r="AT34" s="104">
        <v>0</v>
      </c>
      <c r="AU34" s="104">
        <v>0</v>
      </c>
      <c r="AV34" s="104">
        <v>1008</v>
      </c>
      <c r="AW34" s="104">
        <v>1008</v>
      </c>
      <c r="AX34" s="104">
        <v>0</v>
      </c>
      <c r="AY34" s="104">
        <v>0</v>
      </c>
      <c r="AZ34" s="104">
        <v>0</v>
      </c>
      <c r="BA34" s="104">
        <v>0</v>
      </c>
      <c r="BB34" s="104">
        <v>0</v>
      </c>
      <c r="BC34" s="104">
        <v>17</v>
      </c>
      <c r="BD34" s="104">
        <v>21</v>
      </c>
      <c r="BE34" s="104">
        <v>0</v>
      </c>
      <c r="BF34" s="104">
        <v>51</v>
      </c>
      <c r="BG34" s="104">
        <v>107</v>
      </c>
      <c r="BH34" s="104">
        <v>0</v>
      </c>
      <c r="BI34" s="104">
        <v>0</v>
      </c>
      <c r="BJ34" s="104">
        <v>0</v>
      </c>
      <c r="BK34" s="104">
        <v>0</v>
      </c>
      <c r="BL34" s="104">
        <v>0</v>
      </c>
      <c r="BM34" s="104">
        <v>6</v>
      </c>
      <c r="BN34" s="104">
        <v>23</v>
      </c>
      <c r="BO34" s="104">
        <v>42</v>
      </c>
      <c r="BP34" s="104">
        <v>54</v>
      </c>
      <c r="BQ34" s="104">
        <v>70</v>
      </c>
      <c r="BR34" s="104">
        <v>0</v>
      </c>
      <c r="BS34" s="104">
        <v>0</v>
      </c>
      <c r="BT34" s="104">
        <v>0</v>
      </c>
      <c r="BU34" s="104">
        <v>0</v>
      </c>
      <c r="BV34" s="104">
        <v>0</v>
      </c>
      <c r="BW34" s="104">
        <v>0</v>
      </c>
      <c r="BX34" s="104">
        <v>0</v>
      </c>
      <c r="BY34" s="104">
        <v>0</v>
      </c>
      <c r="BZ34" s="104">
        <v>0</v>
      </c>
      <c r="CA34" s="104">
        <v>0</v>
      </c>
      <c r="CB34" s="104">
        <v>0</v>
      </c>
      <c r="CC34" s="104">
        <v>0</v>
      </c>
      <c r="CD34" s="104">
        <v>0</v>
      </c>
      <c r="CE34" s="104">
        <v>0</v>
      </c>
      <c r="CF34" s="104">
        <v>9</v>
      </c>
      <c r="CG34" s="104">
        <v>9</v>
      </c>
      <c r="CH34" s="104">
        <v>0</v>
      </c>
      <c r="CI34" s="104">
        <v>0</v>
      </c>
      <c r="CJ34" s="104">
        <v>0</v>
      </c>
      <c r="CK34" s="105">
        <v>0</v>
      </c>
    </row>
    <row r="35" spans="1:89">
      <c r="A35" s="78" t="str">
        <f t="shared" si="5"/>
        <v xml:space="preserve"> V3X2</v>
      </c>
      <c r="B35" s="96" t="s">
        <v>215</v>
      </c>
      <c r="C35" s="97" t="str">
        <f>C34</f>
        <v>VIGOMAX</v>
      </c>
      <c r="D35" s="98" t="str">
        <f>D34</f>
        <v>CHARAK PHARMA PVT LTD</v>
      </c>
      <c r="E35" s="97" t="s">
        <v>273</v>
      </c>
      <c r="F35" s="98">
        <v>101.34</v>
      </c>
      <c r="G35" s="99">
        <v>0</v>
      </c>
      <c r="H35" s="99">
        <v>0</v>
      </c>
      <c r="I35" s="99">
        <v>0</v>
      </c>
      <c r="J35" s="99">
        <v>0</v>
      </c>
      <c r="K35" s="99">
        <v>0</v>
      </c>
      <c r="L35" s="99">
        <v>0</v>
      </c>
      <c r="M35" s="99">
        <v>0</v>
      </c>
      <c r="N35" s="99">
        <v>0</v>
      </c>
      <c r="O35" s="99">
        <v>0</v>
      </c>
      <c r="P35" s="99">
        <v>0</v>
      </c>
      <c r="Q35" s="99"/>
      <c r="R35" s="99">
        <v>0</v>
      </c>
      <c r="S35" s="99">
        <v>0</v>
      </c>
      <c r="T35" s="99">
        <v>0</v>
      </c>
      <c r="U35" s="99">
        <v>0</v>
      </c>
      <c r="V35" s="99">
        <v>0</v>
      </c>
      <c r="W35" s="99">
        <v>0</v>
      </c>
      <c r="X35" s="99">
        <v>0</v>
      </c>
      <c r="Y35" s="99">
        <v>0</v>
      </c>
      <c r="Z35" s="99">
        <v>0</v>
      </c>
      <c r="AA35" s="99">
        <v>0</v>
      </c>
      <c r="AB35" s="99">
        <v>0</v>
      </c>
      <c r="AC35" s="99">
        <v>0</v>
      </c>
      <c r="AD35" s="99">
        <v>0</v>
      </c>
      <c r="AE35" s="99">
        <v>0</v>
      </c>
      <c r="AF35" s="99">
        <v>0</v>
      </c>
      <c r="AG35" s="99">
        <v>0</v>
      </c>
      <c r="AH35" s="99">
        <v>0</v>
      </c>
      <c r="AI35" s="99">
        <v>0</v>
      </c>
      <c r="AJ35" s="99">
        <v>0</v>
      </c>
      <c r="AK35" s="99">
        <v>0</v>
      </c>
      <c r="AL35" s="99">
        <v>0</v>
      </c>
      <c r="AM35" s="99">
        <v>0</v>
      </c>
      <c r="AN35" s="99">
        <v>0</v>
      </c>
      <c r="AO35" s="99">
        <v>0</v>
      </c>
      <c r="AP35" s="99">
        <v>0</v>
      </c>
      <c r="AQ35" s="99">
        <v>0</v>
      </c>
      <c r="AR35" s="99">
        <v>0</v>
      </c>
      <c r="AS35" s="99">
        <v>0</v>
      </c>
      <c r="AT35" s="99">
        <v>0</v>
      </c>
      <c r="AU35" s="99">
        <v>0</v>
      </c>
      <c r="AV35" s="99">
        <v>0</v>
      </c>
      <c r="AW35" s="99">
        <v>0</v>
      </c>
      <c r="AX35" s="99">
        <v>0</v>
      </c>
      <c r="AY35" s="99">
        <v>0</v>
      </c>
      <c r="AZ35" s="99">
        <v>0</v>
      </c>
      <c r="BA35" s="99">
        <v>0</v>
      </c>
      <c r="BB35" s="99">
        <v>0</v>
      </c>
      <c r="BC35" s="99">
        <v>0</v>
      </c>
      <c r="BD35" s="99">
        <v>0</v>
      </c>
      <c r="BE35" s="99">
        <v>0</v>
      </c>
      <c r="BF35" s="99">
        <v>0</v>
      </c>
      <c r="BG35" s="99">
        <v>0</v>
      </c>
      <c r="BH35" s="99">
        <v>0</v>
      </c>
      <c r="BI35" s="99">
        <v>0</v>
      </c>
      <c r="BJ35" s="99">
        <v>0</v>
      </c>
      <c r="BK35" s="99">
        <v>0</v>
      </c>
      <c r="BL35" s="99">
        <v>0</v>
      </c>
      <c r="BM35" s="99">
        <v>0</v>
      </c>
      <c r="BN35" s="99">
        <v>0</v>
      </c>
      <c r="BO35" s="99">
        <v>0</v>
      </c>
      <c r="BP35" s="99">
        <v>0</v>
      </c>
      <c r="BQ35" s="99">
        <v>0</v>
      </c>
      <c r="BR35" s="99">
        <v>0</v>
      </c>
      <c r="BS35" s="99">
        <v>0</v>
      </c>
      <c r="BT35" s="99">
        <v>0</v>
      </c>
      <c r="BU35" s="99">
        <v>0</v>
      </c>
      <c r="BV35" s="99">
        <v>0</v>
      </c>
      <c r="BW35" s="99">
        <v>0</v>
      </c>
      <c r="BX35" s="99">
        <v>0</v>
      </c>
      <c r="BY35" s="99">
        <v>0</v>
      </c>
      <c r="BZ35" s="99">
        <v>0</v>
      </c>
      <c r="CA35" s="99">
        <v>0</v>
      </c>
      <c r="CB35" s="99">
        <v>0</v>
      </c>
      <c r="CC35" s="99">
        <v>0</v>
      </c>
      <c r="CD35" s="99">
        <v>0</v>
      </c>
      <c r="CE35" s="99">
        <v>0</v>
      </c>
      <c r="CF35" s="99">
        <v>0</v>
      </c>
      <c r="CG35" s="99">
        <v>0</v>
      </c>
      <c r="CH35" s="99">
        <v>0</v>
      </c>
      <c r="CI35" s="99">
        <v>0</v>
      </c>
      <c r="CJ35" s="99">
        <v>0</v>
      </c>
      <c r="CK35" s="100">
        <v>0</v>
      </c>
    </row>
    <row r="36" spans="1:89">
      <c r="A36" s="78" t="str">
        <f t="shared" si="5"/>
        <v xml:space="preserve"> V3X2</v>
      </c>
      <c r="B36" s="101" t="s">
        <v>215</v>
      </c>
      <c r="C36" s="102" t="str">
        <f>C35</f>
        <v>VIGOMAX</v>
      </c>
      <c r="D36" s="103" t="str">
        <f>D35</f>
        <v>CHARAK PHARMA PVT LTD</v>
      </c>
      <c r="E36" s="102" t="s">
        <v>274</v>
      </c>
      <c r="F36" s="103">
        <v>153.56</v>
      </c>
      <c r="G36" s="104">
        <v>1.6590943339999999</v>
      </c>
      <c r="H36" s="104">
        <v>1.656227106</v>
      </c>
      <c r="I36" s="104">
        <v>1.6957122280000001</v>
      </c>
      <c r="J36" s="104">
        <v>1.5418661549999999</v>
      </c>
      <c r="K36" s="104">
        <v>1.3756683080000001</v>
      </c>
      <c r="L36" s="104">
        <v>135.88800000000001</v>
      </c>
      <c r="M36" s="104">
        <v>128.63999999999999</v>
      </c>
      <c r="N36" s="104">
        <v>124.18899999999999</v>
      </c>
      <c r="O36" s="104">
        <v>108.87</v>
      </c>
      <c r="P36" s="104">
        <v>92.364999999999995</v>
      </c>
      <c r="Q36" s="104"/>
      <c r="R36" s="104">
        <v>1440958.68</v>
      </c>
      <c r="S36" s="104">
        <v>1501921.8</v>
      </c>
      <c r="T36" s="104">
        <v>1508501.52</v>
      </c>
      <c r="U36" s="104">
        <v>1384158.24</v>
      </c>
      <c r="V36" s="104">
        <v>1388052.36</v>
      </c>
      <c r="W36" s="104">
        <v>1362270.6</v>
      </c>
      <c r="X36" s="104">
        <v>1481511.24</v>
      </c>
      <c r="Y36" s="104">
        <v>1413339.04</v>
      </c>
      <c r="Z36" s="104">
        <v>1279228.6200000001</v>
      </c>
      <c r="AA36" s="104">
        <v>1201394.18</v>
      </c>
      <c r="AB36" s="104">
        <v>1540169.98</v>
      </c>
      <c r="AC36" s="104">
        <v>1455616.02</v>
      </c>
      <c r="AD36" s="104">
        <v>1524071.13</v>
      </c>
      <c r="AE36" s="104">
        <v>1424678.23</v>
      </c>
      <c r="AF36" s="104">
        <v>1088422.25</v>
      </c>
      <c r="AG36" s="104">
        <v>1044465.39</v>
      </c>
      <c r="AH36" s="104">
        <v>942832.65</v>
      </c>
      <c r="AI36" s="104">
        <v>1427198.05</v>
      </c>
      <c r="AJ36" s="104">
        <v>1380441.39</v>
      </c>
      <c r="AK36" s="104">
        <v>1287208.05</v>
      </c>
      <c r="AL36" s="104">
        <v>1247170.9099999999</v>
      </c>
      <c r="AM36" s="104">
        <v>1417345.6</v>
      </c>
      <c r="AN36" s="104">
        <v>1423788.08</v>
      </c>
      <c r="AO36" s="104">
        <v>1211039.82</v>
      </c>
      <c r="AP36" s="104">
        <v>1404314.22</v>
      </c>
      <c r="AQ36" s="104">
        <v>1344135.6</v>
      </c>
      <c r="AR36" s="104">
        <v>1006637.5</v>
      </c>
      <c r="AS36" s="104">
        <v>1015276.28</v>
      </c>
      <c r="AT36" s="104">
        <v>859924.66</v>
      </c>
      <c r="AU36" s="104">
        <v>967396.94</v>
      </c>
      <c r="AV36" s="104">
        <v>1039728.42</v>
      </c>
      <c r="AW36" s="104">
        <v>1116745.3400000001</v>
      </c>
      <c r="AX36" s="104">
        <v>1007200.04</v>
      </c>
      <c r="AY36" s="104">
        <v>1250746.2</v>
      </c>
      <c r="AZ36" s="104">
        <v>1327526.2</v>
      </c>
      <c r="BA36" s="104">
        <v>1417051.68</v>
      </c>
      <c r="BB36" s="104">
        <v>10731</v>
      </c>
      <c r="BC36" s="104">
        <v>11185</v>
      </c>
      <c r="BD36" s="104">
        <v>11234</v>
      </c>
      <c r="BE36" s="104">
        <v>10308</v>
      </c>
      <c r="BF36" s="104">
        <v>10337</v>
      </c>
      <c r="BG36" s="104">
        <v>10145</v>
      </c>
      <c r="BH36" s="104">
        <v>11033</v>
      </c>
      <c r="BI36" s="104">
        <v>10096</v>
      </c>
      <c r="BJ36" s="104">
        <v>9138</v>
      </c>
      <c r="BK36" s="104">
        <v>8582</v>
      </c>
      <c r="BL36" s="104">
        <v>11002</v>
      </c>
      <c r="BM36" s="104">
        <v>10398</v>
      </c>
      <c r="BN36" s="104">
        <v>10887</v>
      </c>
      <c r="BO36" s="104">
        <v>10177</v>
      </c>
      <c r="BP36" s="104">
        <v>7775</v>
      </c>
      <c r="BQ36" s="104">
        <v>7461</v>
      </c>
      <c r="BR36" s="104">
        <v>6735</v>
      </c>
      <c r="BS36" s="104">
        <v>10195</v>
      </c>
      <c r="BT36" s="104">
        <v>9861</v>
      </c>
      <c r="BU36" s="104">
        <v>9195</v>
      </c>
      <c r="BV36" s="104">
        <v>8909</v>
      </c>
      <c r="BW36" s="104">
        <v>9680</v>
      </c>
      <c r="BX36" s="104">
        <v>9724</v>
      </c>
      <c r="BY36" s="104">
        <v>8271</v>
      </c>
      <c r="BZ36" s="104">
        <v>9591</v>
      </c>
      <c r="CA36" s="104">
        <v>9180</v>
      </c>
      <c r="CB36" s="104">
        <v>6875</v>
      </c>
      <c r="CC36" s="104">
        <v>6934</v>
      </c>
      <c r="CD36" s="104">
        <v>5873</v>
      </c>
      <c r="CE36" s="104">
        <v>6607</v>
      </c>
      <c r="CF36" s="104">
        <v>7101</v>
      </c>
      <c r="CG36" s="104">
        <v>7627</v>
      </c>
      <c r="CH36" s="104">
        <v>6559</v>
      </c>
      <c r="CI36" s="104">
        <v>8145</v>
      </c>
      <c r="CJ36" s="104">
        <v>8645</v>
      </c>
      <c r="CK36" s="105">
        <v>9228</v>
      </c>
    </row>
    <row r="37" spans="1:89">
      <c r="A37" s="78" t="str">
        <f t="shared" si="5"/>
        <v xml:space="preserve"> V3X2</v>
      </c>
      <c r="B37" s="96" t="s">
        <v>215</v>
      </c>
      <c r="C37" s="97" t="s">
        <v>275</v>
      </c>
      <c r="D37" s="98" t="s">
        <v>241</v>
      </c>
      <c r="E37" s="97" t="s">
        <v>276</v>
      </c>
      <c r="F37" s="98">
        <v>70.709999999999994</v>
      </c>
      <c r="G37" s="99">
        <v>1.4981349289999999</v>
      </c>
      <c r="H37" s="99">
        <v>1.8934711689999999</v>
      </c>
      <c r="I37" s="99">
        <v>1.4629682340000001</v>
      </c>
      <c r="J37" s="99">
        <v>1.114046096</v>
      </c>
      <c r="K37" s="99">
        <v>0.97004220600000002</v>
      </c>
      <c r="L37" s="99">
        <v>287.25900000000001</v>
      </c>
      <c r="M37" s="99">
        <v>326.74099999999999</v>
      </c>
      <c r="N37" s="99">
        <v>235.43100000000001</v>
      </c>
      <c r="O37" s="99">
        <v>172.577</v>
      </c>
      <c r="P37" s="99">
        <v>137.18600000000001</v>
      </c>
      <c r="Q37" s="99"/>
      <c r="R37" s="99">
        <v>1579660.94</v>
      </c>
      <c r="S37" s="99">
        <v>1444382.16</v>
      </c>
      <c r="T37" s="99">
        <v>1336196.42</v>
      </c>
      <c r="U37" s="99">
        <v>1367949.96</v>
      </c>
      <c r="V37" s="99">
        <v>1351296.44</v>
      </c>
      <c r="W37" s="99">
        <v>1353968.46</v>
      </c>
      <c r="X37" s="99">
        <v>1162266.56</v>
      </c>
      <c r="Y37" s="99">
        <v>1158724.58</v>
      </c>
      <c r="Z37" s="99">
        <v>1010955.66</v>
      </c>
      <c r="AA37" s="99">
        <v>827021.26</v>
      </c>
      <c r="AB37" s="99">
        <v>1035003.84</v>
      </c>
      <c r="AC37" s="99">
        <v>1002256.06</v>
      </c>
      <c r="AD37" s="99">
        <v>1254233.76</v>
      </c>
      <c r="AE37" s="99">
        <v>1139896.1599999999</v>
      </c>
      <c r="AF37" s="99">
        <v>1079682.5</v>
      </c>
      <c r="AG37" s="99">
        <v>607488.94999999995</v>
      </c>
      <c r="AH37" s="99">
        <v>706513.92000000004</v>
      </c>
      <c r="AI37" s="99">
        <v>912186.22</v>
      </c>
      <c r="AJ37" s="99">
        <v>965805.58</v>
      </c>
      <c r="AK37" s="99">
        <v>908769.3</v>
      </c>
      <c r="AL37" s="99">
        <v>890436.21</v>
      </c>
      <c r="AM37" s="99">
        <v>936236.08</v>
      </c>
      <c r="AN37" s="99">
        <v>850681.66</v>
      </c>
      <c r="AO37" s="99">
        <v>888530.62</v>
      </c>
      <c r="AP37" s="99">
        <v>969434.1</v>
      </c>
      <c r="AQ37" s="99">
        <v>995879.64</v>
      </c>
      <c r="AR37" s="99">
        <v>889956.06</v>
      </c>
      <c r="AS37" s="99">
        <v>867823.83</v>
      </c>
      <c r="AT37" s="99">
        <v>658027.26</v>
      </c>
      <c r="AU37" s="99">
        <v>802770.63</v>
      </c>
      <c r="AV37" s="99">
        <v>768900.54</v>
      </c>
      <c r="AW37" s="99">
        <v>714736.68</v>
      </c>
      <c r="AX37" s="99">
        <v>740475.12</v>
      </c>
      <c r="AY37" s="99">
        <v>777244.32</v>
      </c>
      <c r="AZ37" s="99">
        <v>725696.73</v>
      </c>
      <c r="BA37" s="99">
        <v>789477.15</v>
      </c>
      <c r="BB37" s="99">
        <v>25421</v>
      </c>
      <c r="BC37" s="99">
        <v>23244</v>
      </c>
      <c r="BD37" s="99">
        <v>21503</v>
      </c>
      <c r="BE37" s="99">
        <v>22014</v>
      </c>
      <c r="BF37" s="99">
        <v>21746</v>
      </c>
      <c r="BG37" s="99">
        <v>21789</v>
      </c>
      <c r="BH37" s="99">
        <v>18704</v>
      </c>
      <c r="BI37" s="99">
        <v>18647</v>
      </c>
      <c r="BJ37" s="99">
        <v>16269</v>
      </c>
      <c r="BK37" s="99">
        <v>13309</v>
      </c>
      <c r="BL37" s="99">
        <v>16656</v>
      </c>
      <c r="BM37" s="99">
        <v>16129</v>
      </c>
      <c r="BN37" s="99">
        <v>20184</v>
      </c>
      <c r="BO37" s="99">
        <v>18344</v>
      </c>
      <c r="BP37" s="99">
        <v>17375</v>
      </c>
      <c r="BQ37" s="99">
        <v>9245</v>
      </c>
      <c r="BR37" s="99">
        <v>10752</v>
      </c>
      <c r="BS37" s="99">
        <v>13882</v>
      </c>
      <c r="BT37" s="99">
        <v>14698</v>
      </c>
      <c r="BU37" s="99">
        <v>13830</v>
      </c>
      <c r="BV37" s="99">
        <v>13551</v>
      </c>
      <c r="BW37" s="99">
        <v>14248</v>
      </c>
      <c r="BX37" s="99">
        <v>12946</v>
      </c>
      <c r="BY37" s="99">
        <v>13522</v>
      </c>
      <c r="BZ37" s="99">
        <v>13710</v>
      </c>
      <c r="CA37" s="99">
        <v>14084</v>
      </c>
      <c r="CB37" s="99">
        <v>12586</v>
      </c>
      <c r="CC37" s="99">
        <v>12273</v>
      </c>
      <c r="CD37" s="99">
        <v>9306</v>
      </c>
      <c r="CE37" s="99">
        <v>11353</v>
      </c>
      <c r="CF37" s="99">
        <v>10874</v>
      </c>
      <c r="CG37" s="99">
        <v>10108</v>
      </c>
      <c r="CH37" s="99">
        <v>10472</v>
      </c>
      <c r="CI37" s="99">
        <v>10992</v>
      </c>
      <c r="CJ37" s="99">
        <v>10263</v>
      </c>
      <c r="CK37" s="100">
        <v>11165</v>
      </c>
    </row>
    <row r="38" spans="1:89">
      <c r="A38" s="78" t="str">
        <f t="shared" si="5"/>
        <v xml:space="preserve"> V3X2</v>
      </c>
      <c r="B38" s="101" t="s">
        <v>215</v>
      </c>
      <c r="C38" s="102" t="s">
        <v>277</v>
      </c>
      <c r="D38" s="103" t="s">
        <v>278</v>
      </c>
      <c r="E38" s="102" t="s">
        <v>279</v>
      </c>
      <c r="F38" s="103">
        <v>777.87</v>
      </c>
      <c r="G38" s="104">
        <v>0.49205004600000002</v>
      </c>
      <c r="H38" s="104">
        <v>0.60485752000000004</v>
      </c>
      <c r="I38" s="104">
        <v>0.68845758899999998</v>
      </c>
      <c r="J38" s="104">
        <v>0.67042377600000003</v>
      </c>
      <c r="K38" s="104">
        <v>0.758070252</v>
      </c>
      <c r="L38" s="104">
        <v>8.7989999999999995</v>
      </c>
      <c r="M38" s="104">
        <v>10.263999999999999</v>
      </c>
      <c r="N38" s="104">
        <v>11.036</v>
      </c>
      <c r="O38" s="104">
        <v>9.8170000000000002</v>
      </c>
      <c r="P38" s="104">
        <v>9.8420000000000005</v>
      </c>
      <c r="Q38" s="104"/>
      <c r="R38" s="104">
        <v>617586.4</v>
      </c>
      <c r="S38" s="104">
        <v>523887.7</v>
      </c>
      <c r="T38" s="104">
        <v>489119</v>
      </c>
      <c r="U38" s="104">
        <v>571031.69999999995</v>
      </c>
      <c r="V38" s="104">
        <v>513869.6</v>
      </c>
      <c r="W38" s="104">
        <v>599945.75</v>
      </c>
      <c r="X38" s="104">
        <v>618096.74</v>
      </c>
      <c r="Y38" s="104">
        <v>638851.30000000005</v>
      </c>
      <c r="Z38" s="104">
        <v>592802.12</v>
      </c>
      <c r="AA38" s="104">
        <v>572696.14</v>
      </c>
      <c r="AB38" s="104">
        <v>512378.2</v>
      </c>
      <c r="AC38" s="104">
        <v>634311.24</v>
      </c>
      <c r="AD38" s="104">
        <v>648580</v>
      </c>
      <c r="AE38" s="104">
        <v>668037.4</v>
      </c>
      <c r="AF38" s="104">
        <v>517566.84</v>
      </c>
      <c r="AG38" s="104">
        <v>417036.94</v>
      </c>
      <c r="AH38" s="104">
        <v>383310.78</v>
      </c>
      <c r="AI38" s="104">
        <v>477333</v>
      </c>
      <c r="AJ38" s="104">
        <v>478040.16</v>
      </c>
      <c r="AK38" s="104">
        <v>494304.84</v>
      </c>
      <c r="AL38" s="104">
        <v>550877.64</v>
      </c>
      <c r="AM38" s="104">
        <v>673923.48</v>
      </c>
      <c r="AN38" s="104">
        <v>660487.43999999994</v>
      </c>
      <c r="AO38" s="104">
        <v>734739.24</v>
      </c>
      <c r="AP38" s="104">
        <v>751003.92</v>
      </c>
      <c r="AQ38" s="104">
        <v>753756.03</v>
      </c>
      <c r="AR38" s="104">
        <v>766201.95</v>
      </c>
      <c r="AS38" s="104">
        <v>680636.25</v>
      </c>
      <c r="AT38" s="104">
        <v>570956.57999999996</v>
      </c>
      <c r="AU38" s="104">
        <v>553843.43999999994</v>
      </c>
      <c r="AV38" s="104">
        <v>555399.18000000005</v>
      </c>
      <c r="AW38" s="104">
        <v>602071.38</v>
      </c>
      <c r="AX38" s="104">
        <v>583402.5</v>
      </c>
      <c r="AY38" s="104">
        <v>591181.19999999995</v>
      </c>
      <c r="AZ38" s="104">
        <v>554621.31000000006</v>
      </c>
      <c r="BA38" s="104">
        <v>617628.78</v>
      </c>
      <c r="BB38" s="104">
        <v>1048</v>
      </c>
      <c r="BC38" s="104">
        <v>889</v>
      </c>
      <c r="BD38" s="104">
        <v>830</v>
      </c>
      <c r="BE38" s="104">
        <v>969</v>
      </c>
      <c r="BF38" s="104">
        <v>872</v>
      </c>
      <c r="BG38" s="104">
        <v>925</v>
      </c>
      <c r="BH38" s="104">
        <v>953</v>
      </c>
      <c r="BI38" s="104">
        <v>985</v>
      </c>
      <c r="BJ38" s="104">
        <v>914</v>
      </c>
      <c r="BK38" s="104">
        <v>883</v>
      </c>
      <c r="BL38" s="104">
        <v>790</v>
      </c>
      <c r="BM38" s="104">
        <v>978</v>
      </c>
      <c r="BN38" s="104">
        <v>1000</v>
      </c>
      <c r="BO38" s="104">
        <v>1030</v>
      </c>
      <c r="BP38" s="104">
        <v>798</v>
      </c>
      <c r="BQ38" s="104">
        <v>643</v>
      </c>
      <c r="BR38" s="104">
        <v>591</v>
      </c>
      <c r="BS38" s="104">
        <v>675</v>
      </c>
      <c r="BT38" s="104">
        <v>676</v>
      </c>
      <c r="BU38" s="104">
        <v>699</v>
      </c>
      <c r="BV38" s="104">
        <v>779</v>
      </c>
      <c r="BW38" s="104">
        <v>953</v>
      </c>
      <c r="BX38" s="104">
        <v>934</v>
      </c>
      <c r="BY38" s="104">
        <v>1039</v>
      </c>
      <c r="BZ38" s="104">
        <v>1062</v>
      </c>
      <c r="CA38" s="104">
        <v>969</v>
      </c>
      <c r="CB38" s="104">
        <v>985</v>
      </c>
      <c r="CC38" s="104">
        <v>875</v>
      </c>
      <c r="CD38" s="104">
        <v>734</v>
      </c>
      <c r="CE38" s="104">
        <v>712</v>
      </c>
      <c r="CF38" s="104">
        <v>714</v>
      </c>
      <c r="CG38" s="104">
        <v>774</v>
      </c>
      <c r="CH38" s="104">
        <v>750</v>
      </c>
      <c r="CI38" s="104">
        <v>760</v>
      </c>
      <c r="CJ38" s="104">
        <v>713</v>
      </c>
      <c r="CK38" s="105">
        <v>794</v>
      </c>
    </row>
    <row r="39" spans="1:89">
      <c r="A39" s="78" t="str">
        <f t="shared" si="5"/>
        <v xml:space="preserve"> V3X2</v>
      </c>
      <c r="B39" s="96" t="s">
        <v>215</v>
      </c>
      <c r="C39" s="97" t="s">
        <v>280</v>
      </c>
      <c r="D39" s="98" t="s">
        <v>222</v>
      </c>
      <c r="E39" s="97" t="s">
        <v>281</v>
      </c>
      <c r="F39" s="98">
        <v>138.57</v>
      </c>
      <c r="G39" s="99">
        <v>0.696018252</v>
      </c>
      <c r="H39" s="99">
        <v>0.579459744</v>
      </c>
      <c r="I39" s="99">
        <v>0.488435234</v>
      </c>
      <c r="J39" s="99">
        <v>0.37761250000000002</v>
      </c>
      <c r="K39" s="99">
        <v>0.473300575</v>
      </c>
      <c r="L39" s="99">
        <v>62.716000000000001</v>
      </c>
      <c r="M39" s="99">
        <v>50.103999999999999</v>
      </c>
      <c r="N39" s="99">
        <v>40.264000000000003</v>
      </c>
      <c r="O39" s="99">
        <v>30.209</v>
      </c>
      <c r="P39" s="99">
        <v>36.122999999999998</v>
      </c>
      <c r="Q39" s="99"/>
      <c r="R39" s="99">
        <v>490533.32</v>
      </c>
      <c r="S39" s="99">
        <v>425946.04</v>
      </c>
      <c r="T39" s="99">
        <v>357115.8</v>
      </c>
      <c r="U39" s="99">
        <v>346508.4</v>
      </c>
      <c r="V39" s="99">
        <v>419228.02</v>
      </c>
      <c r="W39" s="99">
        <v>414395.76</v>
      </c>
      <c r="X39" s="99">
        <v>395500</v>
      </c>
      <c r="Y39" s="99">
        <v>337000</v>
      </c>
      <c r="Z39" s="99">
        <v>388625</v>
      </c>
      <c r="AA39" s="99">
        <v>423750</v>
      </c>
      <c r="AB39" s="99">
        <v>476125</v>
      </c>
      <c r="AC39" s="99">
        <v>409625</v>
      </c>
      <c r="AD39" s="99">
        <v>387750</v>
      </c>
      <c r="AE39" s="99">
        <v>437250</v>
      </c>
      <c r="AF39" s="99">
        <v>305625</v>
      </c>
      <c r="AG39" s="99">
        <v>246125</v>
      </c>
      <c r="AH39" s="99">
        <v>199125</v>
      </c>
      <c r="AI39" s="99">
        <v>345875</v>
      </c>
      <c r="AJ39" s="99">
        <v>288375</v>
      </c>
      <c r="AK39" s="99">
        <v>310500</v>
      </c>
      <c r="AL39" s="99">
        <v>251500</v>
      </c>
      <c r="AM39" s="99">
        <v>316000</v>
      </c>
      <c r="AN39" s="99">
        <v>314875</v>
      </c>
      <c r="AO39" s="99">
        <v>373125</v>
      </c>
      <c r="AP39" s="99">
        <v>387375</v>
      </c>
      <c r="AQ39" s="99">
        <v>380125</v>
      </c>
      <c r="AR39" s="99">
        <v>414530.22</v>
      </c>
      <c r="AS39" s="99">
        <v>389821.38</v>
      </c>
      <c r="AT39" s="99">
        <v>373786.92</v>
      </c>
      <c r="AU39" s="99">
        <v>448570.59</v>
      </c>
      <c r="AV39" s="99">
        <v>400730.07</v>
      </c>
      <c r="AW39" s="99">
        <v>316352.01</v>
      </c>
      <c r="AX39" s="99">
        <v>330283.59000000003</v>
      </c>
      <c r="AY39" s="99">
        <v>411375.9</v>
      </c>
      <c r="AZ39" s="99">
        <v>397970.04</v>
      </c>
      <c r="BA39" s="99">
        <v>482085.03</v>
      </c>
      <c r="BB39" s="99">
        <v>4162</v>
      </c>
      <c r="BC39" s="99">
        <v>3614</v>
      </c>
      <c r="BD39" s="99">
        <v>3030</v>
      </c>
      <c r="BE39" s="99">
        <v>2940</v>
      </c>
      <c r="BF39" s="99">
        <v>3557</v>
      </c>
      <c r="BG39" s="99">
        <v>3516</v>
      </c>
      <c r="BH39" s="99">
        <v>3164</v>
      </c>
      <c r="BI39" s="99">
        <v>2696</v>
      </c>
      <c r="BJ39" s="99">
        <v>3109</v>
      </c>
      <c r="BK39" s="99">
        <v>3390</v>
      </c>
      <c r="BL39" s="99">
        <v>3809</v>
      </c>
      <c r="BM39" s="99">
        <v>3277</v>
      </c>
      <c r="BN39" s="99">
        <v>3102</v>
      </c>
      <c r="BO39" s="99">
        <v>3498</v>
      </c>
      <c r="BP39" s="99">
        <v>2445</v>
      </c>
      <c r="BQ39" s="99">
        <v>1969</v>
      </c>
      <c r="BR39" s="99">
        <v>1593</v>
      </c>
      <c r="BS39" s="99">
        <v>2767</v>
      </c>
      <c r="BT39" s="99">
        <v>2307</v>
      </c>
      <c r="BU39" s="99">
        <v>2484</v>
      </c>
      <c r="BV39" s="99">
        <v>2012</v>
      </c>
      <c r="BW39" s="99">
        <v>2528</v>
      </c>
      <c r="BX39" s="99">
        <v>2519</v>
      </c>
      <c r="BY39" s="99">
        <v>2985</v>
      </c>
      <c r="BZ39" s="99">
        <v>3099</v>
      </c>
      <c r="CA39" s="99">
        <v>3041</v>
      </c>
      <c r="CB39" s="99">
        <v>3154</v>
      </c>
      <c r="CC39" s="99">
        <v>2966</v>
      </c>
      <c r="CD39" s="99">
        <v>2844</v>
      </c>
      <c r="CE39" s="99">
        <v>3413</v>
      </c>
      <c r="CF39" s="99">
        <v>3049</v>
      </c>
      <c r="CG39" s="99">
        <v>2407</v>
      </c>
      <c r="CH39" s="99">
        <v>2513</v>
      </c>
      <c r="CI39" s="99">
        <v>3130</v>
      </c>
      <c r="CJ39" s="99">
        <v>3028</v>
      </c>
      <c r="CK39" s="100">
        <v>3479</v>
      </c>
    </row>
    <row r="40" spans="1:89">
      <c r="A40" s="78" t="str">
        <f t="shared" si="5"/>
        <v xml:space="preserve"> V3X2</v>
      </c>
      <c r="B40" s="101" t="s">
        <v>215</v>
      </c>
      <c r="C40" s="102" t="str">
        <f>C39</f>
        <v>PALLRYWYN</v>
      </c>
      <c r="D40" s="103" t="str">
        <f>D39</f>
        <v>CHARAK PHARMA PVT LTD</v>
      </c>
      <c r="E40" s="102" t="s">
        <v>282</v>
      </c>
      <c r="F40" s="103">
        <v>65.45</v>
      </c>
      <c r="G40" s="104">
        <v>0.214080405</v>
      </c>
      <c r="H40" s="104">
        <v>4.7555970000000003E-2</v>
      </c>
      <c r="I40" s="104">
        <v>2.3136575E-2</v>
      </c>
      <c r="J40" s="104">
        <v>8.4757749999999996E-3</v>
      </c>
      <c r="K40" s="104">
        <v>7.4613000000000001E-4</v>
      </c>
      <c r="L40" s="104">
        <v>32.709000000000003</v>
      </c>
      <c r="M40" s="104">
        <v>7.266</v>
      </c>
      <c r="N40" s="104">
        <v>3.5350000000000001</v>
      </c>
      <c r="O40" s="104">
        <v>1.2949999999999999</v>
      </c>
      <c r="P40" s="104">
        <v>0.114</v>
      </c>
      <c r="Q40" s="104"/>
      <c r="R40" s="104">
        <v>14726.25</v>
      </c>
      <c r="S40" s="104">
        <v>8901.2000000000007</v>
      </c>
      <c r="T40" s="104">
        <v>14464.45</v>
      </c>
      <c r="U40" s="104">
        <v>23300.2</v>
      </c>
      <c r="V40" s="104">
        <v>22645.7</v>
      </c>
      <c r="W40" s="104">
        <v>23692.9</v>
      </c>
      <c r="X40" s="104">
        <v>25394.6</v>
      </c>
      <c r="Y40" s="104">
        <v>26310.9</v>
      </c>
      <c r="Z40" s="104">
        <v>29452.5</v>
      </c>
      <c r="AA40" s="104">
        <v>22253</v>
      </c>
      <c r="AB40" s="104">
        <v>9490.25</v>
      </c>
      <c r="AC40" s="104">
        <v>10733.8</v>
      </c>
      <c r="AD40" s="104">
        <v>11715.55</v>
      </c>
      <c r="AE40" s="104">
        <v>11388.3</v>
      </c>
      <c r="AF40" s="104">
        <v>11388.3</v>
      </c>
      <c r="AG40" s="104">
        <v>10668.35</v>
      </c>
      <c r="AH40" s="104">
        <v>11453.75</v>
      </c>
      <c r="AI40" s="104">
        <v>10079.299999999999</v>
      </c>
      <c r="AJ40" s="104">
        <v>9555.7000000000007</v>
      </c>
      <c r="AK40" s="104">
        <v>7788.55</v>
      </c>
      <c r="AL40" s="104">
        <v>0</v>
      </c>
      <c r="AM40" s="104">
        <v>130.9</v>
      </c>
      <c r="AN40" s="104">
        <v>0</v>
      </c>
      <c r="AO40" s="104">
        <v>589.04999999999995</v>
      </c>
      <c r="AP40" s="104">
        <v>1898.05</v>
      </c>
      <c r="AQ40" s="104">
        <v>2094.4</v>
      </c>
      <c r="AR40" s="104">
        <v>0</v>
      </c>
      <c r="AS40" s="104">
        <v>65.45</v>
      </c>
      <c r="AT40" s="104">
        <v>130.9</v>
      </c>
      <c r="AU40" s="104">
        <v>130.9</v>
      </c>
      <c r="AV40" s="104">
        <v>130.9</v>
      </c>
      <c r="AW40" s="104">
        <v>0</v>
      </c>
      <c r="AX40" s="104">
        <v>65.45</v>
      </c>
      <c r="AY40" s="104">
        <v>327.25</v>
      </c>
      <c r="AZ40" s="104">
        <v>1439.9</v>
      </c>
      <c r="BA40" s="104">
        <v>1178.0999999999999</v>
      </c>
      <c r="BB40" s="104">
        <v>225</v>
      </c>
      <c r="BC40" s="104">
        <v>136</v>
      </c>
      <c r="BD40" s="104">
        <v>221</v>
      </c>
      <c r="BE40" s="104">
        <v>356</v>
      </c>
      <c r="BF40" s="104">
        <v>346</v>
      </c>
      <c r="BG40" s="104">
        <v>362</v>
      </c>
      <c r="BH40" s="104">
        <v>388</v>
      </c>
      <c r="BI40" s="104">
        <v>402</v>
      </c>
      <c r="BJ40" s="104">
        <v>450</v>
      </c>
      <c r="BK40" s="104">
        <v>340</v>
      </c>
      <c r="BL40" s="104">
        <v>145</v>
      </c>
      <c r="BM40" s="104">
        <v>164</v>
      </c>
      <c r="BN40" s="104">
        <v>179</v>
      </c>
      <c r="BO40" s="104">
        <v>174</v>
      </c>
      <c r="BP40" s="104">
        <v>174</v>
      </c>
      <c r="BQ40" s="104">
        <v>163</v>
      </c>
      <c r="BR40" s="104">
        <v>175</v>
      </c>
      <c r="BS40" s="104">
        <v>154</v>
      </c>
      <c r="BT40" s="104">
        <v>146</v>
      </c>
      <c r="BU40" s="104">
        <v>119</v>
      </c>
      <c r="BV40" s="104">
        <v>0</v>
      </c>
      <c r="BW40" s="104">
        <v>2</v>
      </c>
      <c r="BX40" s="104">
        <v>0</v>
      </c>
      <c r="BY40" s="104">
        <v>9</v>
      </c>
      <c r="BZ40" s="104">
        <v>29</v>
      </c>
      <c r="CA40" s="104">
        <v>32</v>
      </c>
      <c r="CB40" s="104">
        <v>0</v>
      </c>
      <c r="CC40" s="104">
        <v>1</v>
      </c>
      <c r="CD40" s="104">
        <v>2</v>
      </c>
      <c r="CE40" s="104">
        <v>2</v>
      </c>
      <c r="CF40" s="104">
        <v>2</v>
      </c>
      <c r="CG40" s="104">
        <v>0</v>
      </c>
      <c r="CH40" s="104">
        <v>1</v>
      </c>
      <c r="CI40" s="104">
        <v>5</v>
      </c>
      <c r="CJ40" s="104">
        <v>22</v>
      </c>
      <c r="CK40" s="105">
        <v>18</v>
      </c>
    </row>
    <row r="41" spans="1:89">
      <c r="A41" s="78" t="str">
        <f t="shared" si="5"/>
        <v xml:space="preserve"> V3X2</v>
      </c>
      <c r="B41" s="96" t="s">
        <v>215</v>
      </c>
      <c r="C41" s="97" t="s">
        <v>283</v>
      </c>
      <c r="D41" s="98" t="s">
        <v>284</v>
      </c>
      <c r="E41" s="97" t="s">
        <v>285</v>
      </c>
      <c r="F41" s="98">
        <v>135.59</v>
      </c>
      <c r="G41" s="99">
        <v>1.713599484</v>
      </c>
      <c r="H41" s="99">
        <v>0.82268930100000004</v>
      </c>
      <c r="I41" s="99">
        <v>0.74215986599999995</v>
      </c>
      <c r="J41" s="99">
        <v>0.420943285</v>
      </c>
      <c r="K41" s="99">
        <v>0.326885482</v>
      </c>
      <c r="L41" s="99">
        <v>209.33199999999999</v>
      </c>
      <c r="M41" s="99">
        <v>93.025000000000006</v>
      </c>
      <c r="N41" s="99">
        <v>76.832999999999998</v>
      </c>
      <c r="O41" s="99">
        <v>38.759</v>
      </c>
      <c r="P41" s="99">
        <v>26.73</v>
      </c>
      <c r="Q41" s="99"/>
      <c r="R41" s="99">
        <v>820224</v>
      </c>
      <c r="S41" s="99">
        <v>817465</v>
      </c>
      <c r="T41" s="99">
        <v>657621</v>
      </c>
      <c r="U41" s="99">
        <v>661804</v>
      </c>
      <c r="V41" s="99">
        <v>675605.62</v>
      </c>
      <c r="W41" s="99">
        <v>554285.31999999995</v>
      </c>
      <c r="X41" s="99">
        <v>604656.28</v>
      </c>
      <c r="Y41" s="99">
        <v>646529.69999999995</v>
      </c>
      <c r="Z41" s="99">
        <v>616225.22</v>
      </c>
      <c r="AA41" s="99">
        <v>462143.32</v>
      </c>
      <c r="AB41" s="99">
        <v>415355.66</v>
      </c>
      <c r="AC41" s="99">
        <v>489683.54</v>
      </c>
      <c r="AD41" s="99">
        <v>603837.24</v>
      </c>
      <c r="AE41" s="99">
        <v>597387.30000000005</v>
      </c>
      <c r="AF41" s="99">
        <v>432862.64</v>
      </c>
      <c r="AG41" s="99">
        <v>268030.84000000003</v>
      </c>
      <c r="AH41" s="99">
        <v>237828.74</v>
      </c>
      <c r="AI41" s="99">
        <v>243664.4</v>
      </c>
      <c r="AJ41" s="99">
        <v>281830.33</v>
      </c>
      <c r="AK41" s="99">
        <v>303418.84000000003</v>
      </c>
      <c r="AL41" s="99">
        <v>308137.64</v>
      </c>
      <c r="AM41" s="99">
        <v>314154.11</v>
      </c>
      <c r="AN41" s="99">
        <v>321822.15999999997</v>
      </c>
      <c r="AO41" s="99">
        <v>296458.61</v>
      </c>
      <c r="AP41" s="99">
        <v>320524.49</v>
      </c>
      <c r="AQ41" s="99">
        <v>363347.6</v>
      </c>
      <c r="AR41" s="99">
        <v>314272.08</v>
      </c>
      <c r="AS41" s="99">
        <v>284543.64</v>
      </c>
      <c r="AT41" s="99">
        <v>188516.06</v>
      </c>
      <c r="AU41" s="99">
        <v>229569.62</v>
      </c>
      <c r="AV41" s="99">
        <v>346359.92</v>
      </c>
      <c r="AW41" s="99">
        <v>332793.37</v>
      </c>
      <c r="AX41" s="99">
        <v>229282.69</v>
      </c>
      <c r="AY41" s="99">
        <v>196469.91</v>
      </c>
      <c r="AZ41" s="99">
        <v>239994.3</v>
      </c>
      <c r="BA41" s="99">
        <v>223181.14</v>
      </c>
      <c r="BB41" s="99">
        <v>9216</v>
      </c>
      <c r="BC41" s="99">
        <v>9185</v>
      </c>
      <c r="BD41" s="99">
        <v>7389</v>
      </c>
      <c r="BE41" s="99">
        <v>7436</v>
      </c>
      <c r="BF41" s="99">
        <v>6599</v>
      </c>
      <c r="BG41" s="99">
        <v>5414</v>
      </c>
      <c r="BH41" s="99">
        <v>5906</v>
      </c>
      <c r="BI41" s="99">
        <v>6315</v>
      </c>
      <c r="BJ41" s="99">
        <v>6019</v>
      </c>
      <c r="BK41" s="99">
        <v>4514</v>
      </c>
      <c r="BL41" s="99">
        <v>4057</v>
      </c>
      <c r="BM41" s="99">
        <v>4783</v>
      </c>
      <c r="BN41" s="99">
        <v>5898</v>
      </c>
      <c r="BO41" s="99">
        <v>5835</v>
      </c>
      <c r="BP41" s="99">
        <v>4228</v>
      </c>
      <c r="BQ41" s="99">
        <v>2618</v>
      </c>
      <c r="BR41" s="99">
        <v>2323</v>
      </c>
      <c r="BS41" s="99">
        <v>2380</v>
      </c>
      <c r="BT41" s="99">
        <v>2389</v>
      </c>
      <c r="BU41" s="99">
        <v>2572</v>
      </c>
      <c r="BV41" s="99">
        <v>2612</v>
      </c>
      <c r="BW41" s="99">
        <v>2663</v>
      </c>
      <c r="BX41" s="99">
        <v>2728</v>
      </c>
      <c r="BY41" s="99">
        <v>2513</v>
      </c>
      <c r="BZ41" s="99">
        <v>2717</v>
      </c>
      <c r="CA41" s="99">
        <v>3080</v>
      </c>
      <c r="CB41" s="99">
        <v>2664</v>
      </c>
      <c r="CC41" s="99">
        <v>2412</v>
      </c>
      <c r="CD41" s="99">
        <v>1598</v>
      </c>
      <c r="CE41" s="99">
        <v>1946</v>
      </c>
      <c r="CF41" s="99">
        <v>2936</v>
      </c>
      <c r="CG41" s="99">
        <v>2821</v>
      </c>
      <c r="CH41" s="99">
        <v>1691</v>
      </c>
      <c r="CI41" s="99">
        <v>1449</v>
      </c>
      <c r="CJ41" s="99">
        <v>1770</v>
      </c>
      <c r="CK41" s="100">
        <v>1646</v>
      </c>
    </row>
    <row r="42" spans="1:89">
      <c r="A42" s="78" t="str">
        <f t="shared" si="5"/>
        <v xml:space="preserve"> V3X2</v>
      </c>
      <c r="B42" s="101" t="s">
        <v>215</v>
      </c>
      <c r="C42" s="102" t="s">
        <v>286</v>
      </c>
      <c r="D42" s="103" t="s">
        <v>238</v>
      </c>
      <c r="E42" s="102" t="s">
        <v>287</v>
      </c>
      <c r="F42" s="103">
        <v>114.29</v>
      </c>
      <c r="G42" s="104">
        <v>2.777247E-3</v>
      </c>
      <c r="H42" s="104">
        <v>4.68589E-4</v>
      </c>
      <c r="I42" s="104">
        <v>4.1144400000000001E-4</v>
      </c>
      <c r="J42" s="104">
        <v>0</v>
      </c>
      <c r="K42" s="104">
        <v>0</v>
      </c>
      <c r="L42" s="104">
        <v>0.24299999999999999</v>
      </c>
      <c r="M42" s="104">
        <v>4.1000000000000002E-2</v>
      </c>
      <c r="N42" s="104">
        <v>3.5999999999999997E-2</v>
      </c>
      <c r="O42" s="104">
        <v>0</v>
      </c>
      <c r="P42" s="104">
        <v>0</v>
      </c>
      <c r="Q42" s="104"/>
      <c r="R42" s="104">
        <v>0</v>
      </c>
      <c r="S42" s="104">
        <v>0</v>
      </c>
      <c r="T42" s="104">
        <v>1600.06</v>
      </c>
      <c r="U42" s="104">
        <v>0</v>
      </c>
      <c r="V42" s="104">
        <v>0</v>
      </c>
      <c r="W42" s="104">
        <v>0</v>
      </c>
      <c r="X42" s="104">
        <v>2514.38</v>
      </c>
      <c r="Y42" s="104">
        <v>0</v>
      </c>
      <c r="Z42" s="104">
        <v>0</v>
      </c>
      <c r="AA42" s="104">
        <v>0</v>
      </c>
      <c r="AB42" s="104">
        <v>0</v>
      </c>
      <c r="AC42" s="104">
        <v>0</v>
      </c>
      <c r="AD42" s="104">
        <v>0</v>
      </c>
      <c r="AE42" s="104">
        <v>0</v>
      </c>
      <c r="AF42" s="104">
        <v>0</v>
      </c>
      <c r="AG42" s="104">
        <v>0</v>
      </c>
      <c r="AH42" s="104">
        <v>0</v>
      </c>
      <c r="AI42" s="104">
        <v>0</v>
      </c>
      <c r="AJ42" s="104">
        <v>0</v>
      </c>
      <c r="AK42" s="104">
        <v>0</v>
      </c>
      <c r="AL42" s="104">
        <v>0</v>
      </c>
      <c r="AM42" s="104">
        <v>0</v>
      </c>
      <c r="AN42" s="104">
        <v>0</v>
      </c>
      <c r="AO42" s="104">
        <v>0</v>
      </c>
      <c r="AP42" s="104">
        <v>0</v>
      </c>
      <c r="AQ42" s="104">
        <v>0</v>
      </c>
      <c r="AR42" s="104">
        <v>0</v>
      </c>
      <c r="AS42" s="104">
        <v>0</v>
      </c>
      <c r="AT42" s="104">
        <v>0</v>
      </c>
      <c r="AU42" s="104">
        <v>0</v>
      </c>
      <c r="AV42" s="104">
        <v>0</v>
      </c>
      <c r="AW42" s="104">
        <v>0</v>
      </c>
      <c r="AX42" s="104">
        <v>0</v>
      </c>
      <c r="AY42" s="104">
        <v>0</v>
      </c>
      <c r="AZ42" s="104">
        <v>0</v>
      </c>
      <c r="BA42" s="104">
        <v>0</v>
      </c>
      <c r="BB42" s="104">
        <v>0</v>
      </c>
      <c r="BC42" s="104">
        <v>0</v>
      </c>
      <c r="BD42" s="104">
        <v>14</v>
      </c>
      <c r="BE42" s="104">
        <v>0</v>
      </c>
      <c r="BF42" s="104">
        <v>0</v>
      </c>
      <c r="BG42" s="104">
        <v>0</v>
      </c>
      <c r="BH42" s="104">
        <v>22</v>
      </c>
      <c r="BI42" s="104">
        <v>0</v>
      </c>
      <c r="BJ42" s="104">
        <v>0</v>
      </c>
      <c r="BK42" s="104">
        <v>0</v>
      </c>
      <c r="BL42" s="104">
        <v>0</v>
      </c>
      <c r="BM42" s="104">
        <v>0</v>
      </c>
      <c r="BN42" s="104">
        <v>0</v>
      </c>
      <c r="BO42" s="104">
        <v>0</v>
      </c>
      <c r="BP42" s="104">
        <v>0</v>
      </c>
      <c r="BQ42" s="104">
        <v>0</v>
      </c>
      <c r="BR42" s="104">
        <v>0</v>
      </c>
      <c r="BS42" s="104">
        <v>0</v>
      </c>
      <c r="BT42" s="104">
        <v>0</v>
      </c>
      <c r="BU42" s="104">
        <v>0</v>
      </c>
      <c r="BV42" s="104">
        <v>0</v>
      </c>
      <c r="BW42" s="104">
        <v>0</v>
      </c>
      <c r="BX42" s="104">
        <v>0</v>
      </c>
      <c r="BY42" s="104">
        <v>0</v>
      </c>
      <c r="BZ42" s="104">
        <v>0</v>
      </c>
      <c r="CA42" s="104">
        <v>0</v>
      </c>
      <c r="CB42" s="104">
        <v>0</v>
      </c>
      <c r="CC42" s="104">
        <v>0</v>
      </c>
      <c r="CD42" s="104">
        <v>0</v>
      </c>
      <c r="CE42" s="104">
        <v>0</v>
      </c>
      <c r="CF42" s="104">
        <v>0</v>
      </c>
      <c r="CG42" s="104">
        <v>0</v>
      </c>
      <c r="CH42" s="104">
        <v>0</v>
      </c>
      <c r="CI42" s="104">
        <v>0</v>
      </c>
      <c r="CJ42" s="104">
        <v>0</v>
      </c>
      <c r="CK42" s="105">
        <v>0</v>
      </c>
    </row>
    <row r="43" spans="1:89">
      <c r="A43" s="78" t="str">
        <f t="shared" si="5"/>
        <v xml:space="preserve"> V3X2</v>
      </c>
      <c r="B43" s="96" t="s">
        <v>215</v>
      </c>
      <c r="C43" s="97" t="str">
        <f>C42</f>
        <v>V TWO</v>
      </c>
      <c r="D43" s="98" t="str">
        <f>D42</f>
        <v>TTK HEALTHCARE LTD</v>
      </c>
      <c r="E43" s="97" t="s">
        <v>288</v>
      </c>
      <c r="F43" s="98">
        <v>74.58</v>
      </c>
      <c r="G43" s="99">
        <v>0.89497325500000002</v>
      </c>
      <c r="H43" s="99">
        <v>1.006619481</v>
      </c>
      <c r="I43" s="99">
        <v>0.37498620599999999</v>
      </c>
      <c r="J43" s="99">
        <v>7.0492057999999996E-2</v>
      </c>
      <c r="K43" s="99">
        <v>0.27217971000000002</v>
      </c>
      <c r="L43" s="99">
        <v>128.26499999999999</v>
      </c>
      <c r="M43" s="99">
        <v>141.399</v>
      </c>
      <c r="N43" s="99">
        <v>52.673999999999999</v>
      </c>
      <c r="O43" s="99">
        <v>9.4890000000000008</v>
      </c>
      <c r="P43" s="99">
        <v>36.494999999999997</v>
      </c>
      <c r="Q43" s="99"/>
      <c r="R43" s="99">
        <v>519758.19</v>
      </c>
      <c r="S43" s="99">
        <v>646903.53</v>
      </c>
      <c r="T43" s="99">
        <v>702218.16</v>
      </c>
      <c r="U43" s="99">
        <v>605613.32999999996</v>
      </c>
      <c r="V43" s="99">
        <v>343847.7</v>
      </c>
      <c r="W43" s="99">
        <v>384497.19</v>
      </c>
      <c r="X43" s="99">
        <v>150780.42000000001</v>
      </c>
      <c r="Y43" s="99">
        <v>184524.48</v>
      </c>
      <c r="Z43" s="99">
        <v>66349.08</v>
      </c>
      <c r="AA43" s="99">
        <v>61009.83</v>
      </c>
      <c r="AB43" s="99">
        <v>49049.91</v>
      </c>
      <c r="AC43" s="99">
        <v>35310.239999999998</v>
      </c>
      <c r="AD43" s="99">
        <v>26977.22</v>
      </c>
      <c r="AE43" s="99">
        <v>18013.599999999999</v>
      </c>
      <c r="AF43" s="99">
        <v>13172</v>
      </c>
      <c r="AG43" s="99">
        <v>0</v>
      </c>
      <c r="AH43" s="99">
        <v>0</v>
      </c>
      <c r="AI43" s="99">
        <v>0</v>
      </c>
      <c r="AJ43" s="99">
        <v>522.05999999999995</v>
      </c>
      <c r="AK43" s="99">
        <v>35052.6</v>
      </c>
      <c r="AL43" s="99">
        <v>39676.559999999998</v>
      </c>
      <c r="AM43" s="99">
        <v>102994.98</v>
      </c>
      <c r="AN43" s="99">
        <v>199650.66</v>
      </c>
      <c r="AO43" s="99">
        <v>268860.90000000002</v>
      </c>
      <c r="AP43" s="99">
        <v>259687.56</v>
      </c>
      <c r="AQ43" s="99">
        <v>261104.58</v>
      </c>
      <c r="AR43" s="99">
        <v>234255.78</v>
      </c>
      <c r="AS43" s="99">
        <v>165940.5</v>
      </c>
      <c r="AT43" s="99">
        <v>109707.18</v>
      </c>
      <c r="AU43" s="99">
        <v>137749.26</v>
      </c>
      <c r="AV43" s="99">
        <v>206735.76</v>
      </c>
      <c r="AW43" s="99">
        <v>270799.98</v>
      </c>
      <c r="AX43" s="99">
        <v>278854.62</v>
      </c>
      <c r="AY43" s="99">
        <v>261626.64</v>
      </c>
      <c r="AZ43" s="99">
        <v>223143.36</v>
      </c>
      <c r="BA43" s="99">
        <v>312191.88</v>
      </c>
      <c r="BB43" s="99">
        <v>7301</v>
      </c>
      <c r="BC43" s="99">
        <v>9087</v>
      </c>
      <c r="BD43" s="99">
        <v>9864</v>
      </c>
      <c r="BE43" s="99">
        <v>8507</v>
      </c>
      <c r="BF43" s="99">
        <v>4830</v>
      </c>
      <c r="BG43" s="99">
        <v>5401</v>
      </c>
      <c r="BH43" s="99">
        <v>2118</v>
      </c>
      <c r="BI43" s="99">
        <v>2592</v>
      </c>
      <c r="BJ43" s="99">
        <v>932</v>
      </c>
      <c r="BK43" s="99">
        <v>857</v>
      </c>
      <c r="BL43" s="99">
        <v>689</v>
      </c>
      <c r="BM43" s="99">
        <v>496</v>
      </c>
      <c r="BN43" s="99">
        <v>379</v>
      </c>
      <c r="BO43" s="99">
        <v>253</v>
      </c>
      <c r="BP43" s="99">
        <v>185</v>
      </c>
      <c r="BQ43" s="99">
        <v>0</v>
      </c>
      <c r="BR43" s="99">
        <v>0</v>
      </c>
      <c r="BS43" s="99">
        <v>0</v>
      </c>
      <c r="BT43" s="99">
        <v>7</v>
      </c>
      <c r="BU43" s="99">
        <v>470</v>
      </c>
      <c r="BV43" s="99">
        <v>532</v>
      </c>
      <c r="BW43" s="99">
        <v>1381</v>
      </c>
      <c r="BX43" s="99">
        <v>2677</v>
      </c>
      <c r="BY43" s="99">
        <v>3605</v>
      </c>
      <c r="BZ43" s="99">
        <v>3482</v>
      </c>
      <c r="CA43" s="99">
        <v>3501</v>
      </c>
      <c r="CB43" s="99">
        <v>3141</v>
      </c>
      <c r="CC43" s="99">
        <v>2225</v>
      </c>
      <c r="CD43" s="99">
        <v>1471</v>
      </c>
      <c r="CE43" s="99">
        <v>1847</v>
      </c>
      <c r="CF43" s="99">
        <v>2772</v>
      </c>
      <c r="CG43" s="99">
        <v>3631</v>
      </c>
      <c r="CH43" s="99">
        <v>3739</v>
      </c>
      <c r="CI43" s="99">
        <v>3508</v>
      </c>
      <c r="CJ43" s="99">
        <v>2992</v>
      </c>
      <c r="CK43" s="100">
        <v>4186</v>
      </c>
    </row>
    <row r="44" spans="1:89">
      <c r="A44" s="78" t="str">
        <f t="shared" si="5"/>
        <v xml:space="preserve"> V3X2</v>
      </c>
      <c r="B44" s="101" t="s">
        <v>215</v>
      </c>
      <c r="C44" s="102" t="s">
        <v>289</v>
      </c>
      <c r="D44" s="103" t="s">
        <v>290</v>
      </c>
      <c r="E44" s="102" t="s">
        <v>291</v>
      </c>
      <c r="F44" s="103">
        <v>433.9</v>
      </c>
      <c r="G44" s="104">
        <v>0</v>
      </c>
      <c r="H44" s="104">
        <v>0.222849246</v>
      </c>
      <c r="I44" s="104">
        <v>0.238844106</v>
      </c>
      <c r="J44" s="104">
        <v>6.3096942000000003E-2</v>
      </c>
      <c r="K44" s="104">
        <v>0.26755080999999997</v>
      </c>
      <c r="L44" s="104">
        <v>0</v>
      </c>
      <c r="M44" s="104">
        <v>6.0330000000000004</v>
      </c>
      <c r="N44" s="104">
        <v>6.2910000000000004</v>
      </c>
      <c r="O44" s="104">
        <v>1.581</v>
      </c>
      <c r="P44" s="104">
        <v>6.1989999999999998</v>
      </c>
      <c r="Q44" s="104"/>
      <c r="R44" s="104">
        <v>307904.26</v>
      </c>
      <c r="S44" s="104">
        <v>296134.8</v>
      </c>
      <c r="T44" s="104">
        <v>243741.72</v>
      </c>
      <c r="U44" s="104">
        <v>215267.22</v>
      </c>
      <c r="V44" s="104">
        <v>271077.24</v>
      </c>
      <c r="W44" s="104">
        <v>238806.14</v>
      </c>
      <c r="X44" s="104">
        <v>214128.24</v>
      </c>
      <c r="Y44" s="104">
        <v>134399.64000000001</v>
      </c>
      <c r="Z44" s="104">
        <v>118833.58</v>
      </c>
      <c r="AA44" s="104">
        <v>144650.46</v>
      </c>
      <c r="AB44" s="104">
        <v>113138.68</v>
      </c>
      <c r="AC44" s="104">
        <v>90359.08</v>
      </c>
      <c r="AD44" s="104">
        <v>87701.46</v>
      </c>
      <c r="AE44" s="104">
        <v>38725.32</v>
      </c>
      <c r="AF44" s="104">
        <v>24677.9</v>
      </c>
      <c r="AG44" s="104">
        <v>20339</v>
      </c>
      <c r="AH44" s="104">
        <v>18983</v>
      </c>
      <c r="AI44" s="104">
        <v>13016.96</v>
      </c>
      <c r="AJ44" s="104">
        <v>10169.5</v>
      </c>
      <c r="AK44" s="104">
        <v>3254.24</v>
      </c>
      <c r="AL44" s="104">
        <v>16271.2</v>
      </c>
      <c r="AM44" s="104">
        <v>26033.919999999998</v>
      </c>
      <c r="AN44" s="104">
        <v>163525.56</v>
      </c>
      <c r="AO44" s="104">
        <v>208271.35999999999</v>
      </c>
      <c r="AP44" s="104">
        <v>213559.5</v>
      </c>
      <c r="AQ44" s="104">
        <v>226495.8</v>
      </c>
      <c r="AR44" s="104">
        <v>230400.9</v>
      </c>
      <c r="AS44" s="104">
        <v>224326.3</v>
      </c>
      <c r="AT44" s="104">
        <v>197424.5</v>
      </c>
      <c r="AU44" s="104">
        <v>169654.9</v>
      </c>
      <c r="AV44" s="104">
        <v>170088.8</v>
      </c>
      <c r="AW44" s="104">
        <v>198292.3</v>
      </c>
      <c r="AX44" s="104">
        <v>231702.6</v>
      </c>
      <c r="AY44" s="104">
        <v>271621.40000000002</v>
      </c>
      <c r="AZ44" s="104">
        <v>272923.09999999998</v>
      </c>
      <c r="BA44" s="104">
        <v>269018</v>
      </c>
      <c r="BB44" s="104">
        <v>811</v>
      </c>
      <c r="BC44" s="104">
        <v>780</v>
      </c>
      <c r="BD44" s="104">
        <v>642</v>
      </c>
      <c r="BE44" s="104">
        <v>567</v>
      </c>
      <c r="BF44" s="104">
        <v>714</v>
      </c>
      <c r="BG44" s="104">
        <v>629</v>
      </c>
      <c r="BH44" s="104">
        <v>564</v>
      </c>
      <c r="BI44" s="104">
        <v>354</v>
      </c>
      <c r="BJ44" s="104">
        <v>313</v>
      </c>
      <c r="BK44" s="104">
        <v>381</v>
      </c>
      <c r="BL44" s="104">
        <v>298</v>
      </c>
      <c r="BM44" s="104">
        <v>238</v>
      </c>
      <c r="BN44" s="104">
        <v>231</v>
      </c>
      <c r="BO44" s="104">
        <v>102</v>
      </c>
      <c r="BP44" s="104">
        <v>65</v>
      </c>
      <c r="BQ44" s="104">
        <v>50</v>
      </c>
      <c r="BR44" s="104">
        <v>50</v>
      </c>
      <c r="BS44" s="104">
        <v>32</v>
      </c>
      <c r="BT44" s="104">
        <v>25</v>
      </c>
      <c r="BU44" s="104">
        <v>8</v>
      </c>
      <c r="BV44" s="104">
        <v>40</v>
      </c>
      <c r="BW44" s="104">
        <v>64</v>
      </c>
      <c r="BX44" s="104">
        <v>402</v>
      </c>
      <c r="BY44" s="104">
        <v>512</v>
      </c>
      <c r="BZ44" s="104">
        <v>525</v>
      </c>
      <c r="CA44" s="104">
        <v>522</v>
      </c>
      <c r="CB44" s="104">
        <v>531</v>
      </c>
      <c r="CC44" s="104">
        <v>517</v>
      </c>
      <c r="CD44" s="104">
        <v>455</v>
      </c>
      <c r="CE44" s="104">
        <v>391</v>
      </c>
      <c r="CF44" s="104">
        <v>392</v>
      </c>
      <c r="CG44" s="104">
        <v>457</v>
      </c>
      <c r="CH44" s="104">
        <v>534</v>
      </c>
      <c r="CI44" s="104">
        <v>626</v>
      </c>
      <c r="CJ44" s="104">
        <v>629</v>
      </c>
      <c r="CK44" s="105">
        <v>620</v>
      </c>
    </row>
    <row r="45" spans="1:89">
      <c r="A45" s="78" t="str">
        <f t="shared" si="5"/>
        <v xml:space="preserve"> V3X2</v>
      </c>
      <c r="B45" s="96" t="s">
        <v>215</v>
      </c>
      <c r="C45" s="97" t="s">
        <v>292</v>
      </c>
      <c r="D45" s="98" t="s">
        <v>293</v>
      </c>
      <c r="E45" s="97" t="s">
        <v>294</v>
      </c>
      <c r="F45" s="98">
        <v>117.79</v>
      </c>
      <c r="G45" s="99">
        <v>0.41022339099999999</v>
      </c>
      <c r="H45" s="99">
        <v>0.42837867200000002</v>
      </c>
      <c r="I45" s="99">
        <v>0.44077018000000001</v>
      </c>
      <c r="J45" s="99">
        <v>0.300093583</v>
      </c>
      <c r="K45" s="99">
        <v>0.21831198600000001</v>
      </c>
      <c r="L45" s="99">
        <v>33.31</v>
      </c>
      <c r="M45" s="99">
        <v>36.368000000000002</v>
      </c>
      <c r="N45" s="99">
        <v>37.42</v>
      </c>
      <c r="O45" s="99">
        <v>25.477</v>
      </c>
      <c r="P45" s="99">
        <v>18.533999999999999</v>
      </c>
      <c r="Q45" s="99"/>
      <c r="R45" s="99">
        <v>447248.63</v>
      </c>
      <c r="S45" s="99">
        <v>533117.54</v>
      </c>
      <c r="T45" s="99">
        <v>564803.05000000005</v>
      </c>
      <c r="U45" s="99">
        <v>508970.59</v>
      </c>
      <c r="V45" s="99">
        <v>405904.34</v>
      </c>
      <c r="W45" s="99">
        <v>349247.35</v>
      </c>
      <c r="X45" s="99">
        <v>310612.23</v>
      </c>
      <c r="Y45" s="99">
        <v>269385.73</v>
      </c>
      <c r="Z45" s="99">
        <v>245474.36</v>
      </c>
      <c r="AA45" s="99">
        <v>225332.27</v>
      </c>
      <c r="AB45" s="99">
        <v>331107.69</v>
      </c>
      <c r="AC45" s="99">
        <v>216498.02</v>
      </c>
      <c r="AD45" s="99">
        <v>301071.24</v>
      </c>
      <c r="AE45" s="99">
        <v>292943.73</v>
      </c>
      <c r="AF45" s="99">
        <v>286583.07</v>
      </c>
      <c r="AG45" s="99">
        <v>309434.33</v>
      </c>
      <c r="AH45" s="99">
        <v>237700.22</v>
      </c>
      <c r="AI45" s="99">
        <v>291530.25</v>
      </c>
      <c r="AJ45" s="99">
        <v>181867.76</v>
      </c>
      <c r="AK45" s="99">
        <v>234284.31</v>
      </c>
      <c r="AL45" s="99">
        <v>225096.69</v>
      </c>
      <c r="AM45" s="99">
        <v>177862.9</v>
      </c>
      <c r="AN45" s="99">
        <v>222858.68</v>
      </c>
      <c r="AO45" s="99">
        <v>239702.65</v>
      </c>
      <c r="AP45" s="99">
        <v>198240.57</v>
      </c>
      <c r="AQ45" s="99">
        <v>197416.04</v>
      </c>
      <c r="AR45" s="99">
        <v>173386.88</v>
      </c>
      <c r="AS45" s="99">
        <v>167615.17000000001</v>
      </c>
      <c r="AT45" s="99">
        <v>124032.87</v>
      </c>
      <c r="AU45" s="99">
        <v>154658.26999999999</v>
      </c>
      <c r="AV45" s="99">
        <v>143821.59</v>
      </c>
      <c r="AW45" s="99">
        <v>194824.66</v>
      </c>
      <c r="AX45" s="99">
        <v>230632.82</v>
      </c>
      <c r="AY45" s="99">
        <v>218500.45</v>
      </c>
      <c r="AZ45" s="99">
        <v>179158.59</v>
      </c>
      <c r="BA45" s="99">
        <v>200831.95</v>
      </c>
      <c r="BB45" s="99">
        <v>3797</v>
      </c>
      <c r="BC45" s="99">
        <v>4526</v>
      </c>
      <c r="BD45" s="99">
        <v>4795</v>
      </c>
      <c r="BE45" s="99">
        <v>4321</v>
      </c>
      <c r="BF45" s="99">
        <v>3446</v>
      </c>
      <c r="BG45" s="99">
        <v>2965</v>
      </c>
      <c r="BH45" s="99">
        <v>2637</v>
      </c>
      <c r="BI45" s="99">
        <v>2287</v>
      </c>
      <c r="BJ45" s="99">
        <v>2084</v>
      </c>
      <c r="BK45" s="99">
        <v>1913</v>
      </c>
      <c r="BL45" s="99">
        <v>2811</v>
      </c>
      <c r="BM45" s="99">
        <v>1838</v>
      </c>
      <c r="BN45" s="99">
        <v>2556</v>
      </c>
      <c r="BO45" s="99">
        <v>2487</v>
      </c>
      <c r="BP45" s="99">
        <v>2433</v>
      </c>
      <c r="BQ45" s="99">
        <v>2627</v>
      </c>
      <c r="BR45" s="99">
        <v>2018</v>
      </c>
      <c r="BS45" s="99">
        <v>2475</v>
      </c>
      <c r="BT45" s="99">
        <v>1544</v>
      </c>
      <c r="BU45" s="99">
        <v>1989</v>
      </c>
      <c r="BV45" s="99">
        <v>1911</v>
      </c>
      <c r="BW45" s="99">
        <v>1510</v>
      </c>
      <c r="BX45" s="99">
        <v>1892</v>
      </c>
      <c r="BY45" s="99">
        <v>2035</v>
      </c>
      <c r="BZ45" s="99">
        <v>1683</v>
      </c>
      <c r="CA45" s="99">
        <v>1676</v>
      </c>
      <c r="CB45" s="99">
        <v>1472</v>
      </c>
      <c r="CC45" s="99">
        <v>1423</v>
      </c>
      <c r="CD45" s="99">
        <v>1053</v>
      </c>
      <c r="CE45" s="99">
        <v>1313</v>
      </c>
      <c r="CF45" s="99">
        <v>1221</v>
      </c>
      <c r="CG45" s="99">
        <v>1654</v>
      </c>
      <c r="CH45" s="99">
        <v>1958</v>
      </c>
      <c r="CI45" s="99">
        <v>1855</v>
      </c>
      <c r="CJ45" s="99">
        <v>1521</v>
      </c>
      <c r="CK45" s="100">
        <v>1705</v>
      </c>
    </row>
    <row r="46" spans="1:89">
      <c r="A46" s="78" t="str">
        <f t="shared" si="5"/>
        <v xml:space="preserve"> V3X2</v>
      </c>
      <c r="B46" s="101" t="s">
        <v>215</v>
      </c>
      <c r="C46" s="102" t="s">
        <v>295</v>
      </c>
      <c r="D46" s="103" t="s">
        <v>266</v>
      </c>
      <c r="E46" s="102" t="s">
        <v>296</v>
      </c>
      <c r="F46" s="103">
        <v>167.41</v>
      </c>
      <c r="G46" s="104">
        <v>0.137472283</v>
      </c>
      <c r="H46" s="104">
        <v>0.13876205799999999</v>
      </c>
      <c r="I46" s="104">
        <v>0.143714858</v>
      </c>
      <c r="J46" s="104">
        <v>9.8350982000000003E-2</v>
      </c>
      <c r="K46" s="104">
        <v>0.192652027</v>
      </c>
      <c r="L46" s="104">
        <v>9.8650000000000002</v>
      </c>
      <c r="M46" s="104">
        <v>9.4740000000000002</v>
      </c>
      <c r="N46" s="104">
        <v>9.3979999999999997</v>
      </c>
      <c r="O46" s="104">
        <v>5.9119999999999999</v>
      </c>
      <c r="P46" s="104">
        <v>11.507</v>
      </c>
      <c r="Q46" s="104"/>
      <c r="R46" s="104">
        <v>186905.36</v>
      </c>
      <c r="S46" s="104">
        <v>174107.7</v>
      </c>
      <c r="T46" s="104">
        <v>151042.15</v>
      </c>
      <c r="U46" s="104">
        <v>206101.85</v>
      </c>
      <c r="V46" s="104">
        <v>124851.59</v>
      </c>
      <c r="W46" s="104">
        <v>99702.7</v>
      </c>
      <c r="X46" s="104">
        <v>110268.21</v>
      </c>
      <c r="Y46" s="104">
        <v>36458.449999999997</v>
      </c>
      <c r="Z46" s="104">
        <v>91405.86</v>
      </c>
      <c r="AA46" s="104">
        <v>49385.95</v>
      </c>
      <c r="AB46" s="104">
        <v>98102.26</v>
      </c>
      <c r="AC46" s="104">
        <v>108816.5</v>
      </c>
      <c r="AD46" s="104">
        <v>88727.3</v>
      </c>
      <c r="AE46" s="104">
        <v>48883.72</v>
      </c>
      <c r="AF46" s="104">
        <v>80356.800000000003</v>
      </c>
      <c r="AG46" s="104">
        <v>104798.66</v>
      </c>
      <c r="AH46" s="104">
        <v>50744.21</v>
      </c>
      <c r="AI46" s="104">
        <v>84207.23</v>
      </c>
      <c r="AJ46" s="104">
        <v>78850.11</v>
      </c>
      <c r="AK46" s="104">
        <v>62949.919999999998</v>
      </c>
      <c r="AL46" s="104">
        <v>104023.71</v>
      </c>
      <c r="AM46" s="104">
        <v>87105.2</v>
      </c>
      <c r="AN46" s="104">
        <v>111166.88</v>
      </c>
      <c r="AO46" s="104">
        <v>81696.08</v>
      </c>
      <c r="AP46" s="104">
        <v>68638.100000000006</v>
      </c>
      <c r="AQ46" s="104">
        <v>67674.039999999994</v>
      </c>
      <c r="AR46" s="104">
        <v>88894.71</v>
      </c>
      <c r="AS46" s="104">
        <v>104966.07</v>
      </c>
      <c r="AT46" s="104">
        <v>198213.44</v>
      </c>
      <c r="AU46" s="104">
        <v>264842.62</v>
      </c>
      <c r="AV46" s="104">
        <v>162387.70000000001</v>
      </c>
      <c r="AW46" s="104">
        <v>180802.8</v>
      </c>
      <c r="AX46" s="104">
        <v>155784.29999999999</v>
      </c>
      <c r="AY46" s="104">
        <v>198213.44</v>
      </c>
      <c r="AZ46" s="104">
        <v>207086.17</v>
      </c>
      <c r="BA46" s="104">
        <v>229016.88</v>
      </c>
      <c r="BB46" s="104">
        <v>1256</v>
      </c>
      <c r="BC46" s="104">
        <v>1170</v>
      </c>
      <c r="BD46" s="104">
        <v>1015</v>
      </c>
      <c r="BE46" s="104">
        <v>1385</v>
      </c>
      <c r="BF46" s="104">
        <v>839</v>
      </c>
      <c r="BG46" s="104">
        <v>670</v>
      </c>
      <c r="BH46" s="104">
        <v>741</v>
      </c>
      <c r="BI46" s="104">
        <v>245</v>
      </c>
      <c r="BJ46" s="104">
        <v>546</v>
      </c>
      <c r="BK46" s="104">
        <v>295</v>
      </c>
      <c r="BL46" s="104">
        <v>586</v>
      </c>
      <c r="BM46" s="104">
        <v>650</v>
      </c>
      <c r="BN46" s="104">
        <v>530</v>
      </c>
      <c r="BO46" s="104">
        <v>292</v>
      </c>
      <c r="BP46" s="104">
        <v>480</v>
      </c>
      <c r="BQ46" s="104">
        <v>626</v>
      </c>
      <c r="BR46" s="104">
        <v>341</v>
      </c>
      <c r="BS46" s="104">
        <v>503</v>
      </c>
      <c r="BT46" s="104">
        <v>471</v>
      </c>
      <c r="BU46" s="104">
        <v>376</v>
      </c>
      <c r="BV46" s="104">
        <v>621</v>
      </c>
      <c r="BW46" s="104">
        <v>520</v>
      </c>
      <c r="BX46" s="104">
        <v>664</v>
      </c>
      <c r="BY46" s="104">
        <v>488</v>
      </c>
      <c r="BZ46" s="104">
        <v>410</v>
      </c>
      <c r="CA46" s="104">
        <v>404</v>
      </c>
      <c r="CB46" s="104">
        <v>531</v>
      </c>
      <c r="CC46" s="104">
        <v>627</v>
      </c>
      <c r="CD46" s="104">
        <v>1184</v>
      </c>
      <c r="CE46" s="104">
        <v>1582</v>
      </c>
      <c r="CF46" s="104">
        <v>970</v>
      </c>
      <c r="CG46" s="104">
        <v>1080</v>
      </c>
      <c r="CH46" s="104">
        <v>930</v>
      </c>
      <c r="CI46" s="104">
        <v>1184</v>
      </c>
      <c r="CJ46" s="104">
        <v>1237</v>
      </c>
      <c r="CK46" s="105">
        <v>1368</v>
      </c>
    </row>
    <row r="47" spans="1:89">
      <c r="A47" s="78" t="str">
        <f t="shared" si="5"/>
        <v xml:space="preserve"> V3X2</v>
      </c>
      <c r="B47" s="96" t="s">
        <v>215</v>
      </c>
      <c r="C47" s="97" t="s">
        <v>297</v>
      </c>
      <c r="D47" s="98" t="s">
        <v>278</v>
      </c>
      <c r="E47" s="97" t="s">
        <v>298</v>
      </c>
      <c r="F47" s="98">
        <v>215.72</v>
      </c>
      <c r="G47" s="99">
        <v>0.11081123399999999</v>
      </c>
      <c r="H47" s="99">
        <v>0.112955206</v>
      </c>
      <c r="I47" s="99">
        <v>0.12083464100000001</v>
      </c>
      <c r="J47" s="99">
        <v>6.8200495999999999E-2</v>
      </c>
      <c r="K47" s="99">
        <v>9.1730195E-2</v>
      </c>
      <c r="L47" s="99">
        <v>6.5709999999999997</v>
      </c>
      <c r="M47" s="99">
        <v>6.4329999999999998</v>
      </c>
      <c r="N47" s="99">
        <v>6.577</v>
      </c>
      <c r="O47" s="99">
        <v>3.472</v>
      </c>
      <c r="P47" s="99">
        <v>4.2910000000000004</v>
      </c>
      <c r="Q47" s="99"/>
      <c r="R47" s="99">
        <v>127506.12</v>
      </c>
      <c r="S47" s="99">
        <v>111612.5</v>
      </c>
      <c r="T47" s="99">
        <v>103576.4</v>
      </c>
      <c r="U47" s="99">
        <v>96968.94</v>
      </c>
      <c r="V47" s="99">
        <v>96968.94</v>
      </c>
      <c r="W47" s="99">
        <v>110005.28</v>
      </c>
      <c r="X47" s="99">
        <v>91611.54</v>
      </c>
      <c r="Y47" s="99">
        <v>97861.84</v>
      </c>
      <c r="Z47" s="99">
        <v>97625.71</v>
      </c>
      <c r="AA47" s="99">
        <v>99982.87</v>
      </c>
      <c r="AB47" s="99">
        <v>98215</v>
      </c>
      <c r="AC47" s="99">
        <v>76411.27</v>
      </c>
      <c r="AD47" s="99">
        <v>90947.09</v>
      </c>
      <c r="AE47" s="99">
        <v>93697.11</v>
      </c>
      <c r="AF47" s="99">
        <v>78179.14</v>
      </c>
      <c r="AG47" s="99">
        <v>65018.33</v>
      </c>
      <c r="AH47" s="99">
        <v>38696.71</v>
      </c>
      <c r="AI47" s="99">
        <v>40857.440000000002</v>
      </c>
      <c r="AJ47" s="99">
        <v>37518.129999999997</v>
      </c>
      <c r="AK47" s="99">
        <v>37125.269999999997</v>
      </c>
      <c r="AL47" s="99">
        <v>41446.730000000003</v>
      </c>
      <c r="AM47" s="99">
        <v>40464.58</v>
      </c>
      <c r="AN47" s="99">
        <v>48518.21</v>
      </c>
      <c r="AO47" s="99">
        <v>69536.22</v>
      </c>
      <c r="AP47" s="99">
        <v>85054.19</v>
      </c>
      <c r="AQ47" s="99">
        <v>85425.12</v>
      </c>
      <c r="AR47" s="99">
        <v>95995.4</v>
      </c>
      <c r="AS47" s="99">
        <v>82189.320000000007</v>
      </c>
      <c r="AT47" s="99">
        <v>74639.12</v>
      </c>
      <c r="AU47" s="99">
        <v>75502</v>
      </c>
      <c r="AV47" s="99">
        <v>74854.84</v>
      </c>
      <c r="AW47" s="99">
        <v>71619.039999999994</v>
      </c>
      <c r="AX47" s="99">
        <v>65363.16</v>
      </c>
      <c r="AY47" s="99">
        <v>69246.12</v>
      </c>
      <c r="AZ47" s="99">
        <v>61911.64</v>
      </c>
      <c r="BA47" s="99">
        <v>75502</v>
      </c>
      <c r="BB47" s="99">
        <v>714</v>
      </c>
      <c r="BC47" s="99">
        <v>625</v>
      </c>
      <c r="BD47" s="99">
        <v>580</v>
      </c>
      <c r="BE47" s="99">
        <v>543</v>
      </c>
      <c r="BF47" s="99">
        <v>543</v>
      </c>
      <c r="BG47" s="99">
        <v>616</v>
      </c>
      <c r="BH47" s="99">
        <v>513</v>
      </c>
      <c r="BI47" s="99">
        <v>548</v>
      </c>
      <c r="BJ47" s="99">
        <v>497</v>
      </c>
      <c r="BK47" s="99">
        <v>509</v>
      </c>
      <c r="BL47" s="99">
        <v>500</v>
      </c>
      <c r="BM47" s="99">
        <v>389</v>
      </c>
      <c r="BN47" s="99">
        <v>463</v>
      </c>
      <c r="BO47" s="99">
        <v>477</v>
      </c>
      <c r="BP47" s="99">
        <v>398</v>
      </c>
      <c r="BQ47" s="99">
        <v>331</v>
      </c>
      <c r="BR47" s="99">
        <v>197</v>
      </c>
      <c r="BS47" s="99">
        <v>208</v>
      </c>
      <c r="BT47" s="99">
        <v>191</v>
      </c>
      <c r="BU47" s="99">
        <v>189</v>
      </c>
      <c r="BV47" s="99">
        <v>211</v>
      </c>
      <c r="BW47" s="99">
        <v>206</v>
      </c>
      <c r="BX47" s="99">
        <v>247</v>
      </c>
      <c r="BY47" s="99">
        <v>354</v>
      </c>
      <c r="BZ47" s="99">
        <v>433</v>
      </c>
      <c r="CA47" s="99">
        <v>396</v>
      </c>
      <c r="CB47" s="99">
        <v>445</v>
      </c>
      <c r="CC47" s="99">
        <v>381</v>
      </c>
      <c r="CD47" s="99">
        <v>346</v>
      </c>
      <c r="CE47" s="99">
        <v>350</v>
      </c>
      <c r="CF47" s="99">
        <v>347</v>
      </c>
      <c r="CG47" s="99">
        <v>332</v>
      </c>
      <c r="CH47" s="99">
        <v>303</v>
      </c>
      <c r="CI47" s="99">
        <v>321</v>
      </c>
      <c r="CJ47" s="99">
        <v>287</v>
      </c>
      <c r="CK47" s="100">
        <v>350</v>
      </c>
    </row>
    <row r="48" spans="1:89">
      <c r="A48" s="78" t="str">
        <f t="shared" si="5"/>
        <v xml:space="preserve"> V3X2</v>
      </c>
      <c r="B48" s="101" t="s">
        <v>215</v>
      </c>
      <c r="C48" s="102" t="s">
        <v>299</v>
      </c>
      <c r="D48" s="103" t="s">
        <v>300</v>
      </c>
      <c r="E48" s="102" t="s">
        <v>301</v>
      </c>
      <c r="F48" s="103">
        <v>79.88</v>
      </c>
      <c r="G48" s="104">
        <v>0.15056459999999999</v>
      </c>
      <c r="H48" s="104">
        <v>0.20063376199999999</v>
      </c>
      <c r="I48" s="104">
        <v>0.32220159300000001</v>
      </c>
      <c r="J48" s="104">
        <v>0.15748330499999999</v>
      </c>
      <c r="K48" s="104">
        <v>7.4975368000000001E-2</v>
      </c>
      <c r="L48" s="104">
        <v>21.54</v>
      </c>
      <c r="M48" s="104">
        <v>25.609000000000002</v>
      </c>
      <c r="N48" s="104">
        <v>35.561999999999998</v>
      </c>
      <c r="O48" s="104">
        <v>17.004999999999999</v>
      </c>
      <c r="P48" s="104">
        <v>9.3859999999999992</v>
      </c>
      <c r="Q48" s="104"/>
      <c r="R48" s="104">
        <v>332910</v>
      </c>
      <c r="S48" s="104">
        <v>462420</v>
      </c>
      <c r="T48" s="104">
        <v>233370</v>
      </c>
      <c r="U48" s="104">
        <v>406530</v>
      </c>
      <c r="V48" s="104">
        <v>433620</v>
      </c>
      <c r="W48" s="104">
        <v>340920</v>
      </c>
      <c r="X48" s="104">
        <v>251640</v>
      </c>
      <c r="Y48" s="104">
        <v>128264.85</v>
      </c>
      <c r="Z48" s="104">
        <v>130394.88</v>
      </c>
      <c r="AA48" s="104">
        <v>133358.39999999999</v>
      </c>
      <c r="AB48" s="104">
        <v>190220.94</v>
      </c>
      <c r="AC48" s="104">
        <v>178366.86</v>
      </c>
      <c r="AD48" s="104">
        <v>208279.89</v>
      </c>
      <c r="AE48" s="104">
        <v>162345.32999999999</v>
      </c>
      <c r="AF48" s="104">
        <v>174940.29</v>
      </c>
      <c r="AG48" s="104">
        <v>151509.96</v>
      </c>
      <c r="AH48" s="104">
        <v>171791.55</v>
      </c>
      <c r="AI48" s="104">
        <v>200037.6</v>
      </c>
      <c r="AJ48" s="104">
        <v>118818.63</v>
      </c>
      <c r="AK48" s="104">
        <v>136044.09</v>
      </c>
      <c r="AL48" s="104">
        <v>251065.71</v>
      </c>
      <c r="AM48" s="104">
        <v>0</v>
      </c>
      <c r="AN48" s="104">
        <v>0</v>
      </c>
      <c r="AO48" s="104">
        <v>0</v>
      </c>
      <c r="AP48" s="104">
        <v>0</v>
      </c>
      <c r="AQ48" s="104">
        <v>0</v>
      </c>
      <c r="AR48" s="104">
        <v>0</v>
      </c>
      <c r="AS48" s="104">
        <v>5351.96</v>
      </c>
      <c r="AT48" s="104">
        <v>6150.76</v>
      </c>
      <c r="AU48" s="104">
        <v>6630.04</v>
      </c>
      <c r="AV48" s="104">
        <v>5591.6</v>
      </c>
      <c r="AW48" s="104">
        <v>215116.84</v>
      </c>
      <c r="AX48" s="104">
        <v>232690.44</v>
      </c>
      <c r="AY48" s="104">
        <v>117024.2</v>
      </c>
      <c r="AZ48" s="104">
        <v>74607.92</v>
      </c>
      <c r="BA48" s="104">
        <v>86589.92</v>
      </c>
      <c r="BB48" s="104">
        <v>3699</v>
      </c>
      <c r="BC48" s="104">
        <v>5138</v>
      </c>
      <c r="BD48" s="104">
        <v>2593</v>
      </c>
      <c r="BE48" s="104">
        <v>4517</v>
      </c>
      <c r="BF48" s="104">
        <v>4818</v>
      </c>
      <c r="BG48" s="104">
        <v>3788</v>
      </c>
      <c r="BH48" s="104">
        <v>2796</v>
      </c>
      <c r="BI48" s="104">
        <v>1385</v>
      </c>
      <c r="BJ48" s="104">
        <v>1408</v>
      </c>
      <c r="BK48" s="104">
        <v>1440</v>
      </c>
      <c r="BL48" s="104">
        <v>2054</v>
      </c>
      <c r="BM48" s="104">
        <v>1926</v>
      </c>
      <c r="BN48" s="104">
        <v>2249</v>
      </c>
      <c r="BO48" s="104">
        <v>1753</v>
      </c>
      <c r="BP48" s="104">
        <v>1889</v>
      </c>
      <c r="BQ48" s="104">
        <v>1636</v>
      </c>
      <c r="BR48" s="104">
        <v>1855</v>
      </c>
      <c r="BS48" s="104">
        <v>2160</v>
      </c>
      <c r="BT48" s="104">
        <v>1283</v>
      </c>
      <c r="BU48" s="104">
        <v>1469</v>
      </c>
      <c r="BV48" s="104">
        <v>2711</v>
      </c>
      <c r="BW48" s="104">
        <v>0</v>
      </c>
      <c r="BX48" s="104">
        <v>0</v>
      </c>
      <c r="BY48" s="104">
        <v>0</v>
      </c>
      <c r="BZ48" s="104">
        <v>0</v>
      </c>
      <c r="CA48" s="104">
        <v>0</v>
      </c>
      <c r="CB48" s="104">
        <v>0</v>
      </c>
      <c r="CC48" s="104">
        <v>67</v>
      </c>
      <c r="CD48" s="104">
        <v>77</v>
      </c>
      <c r="CE48" s="104">
        <v>83</v>
      </c>
      <c r="CF48" s="104">
        <v>70</v>
      </c>
      <c r="CG48" s="104">
        <v>2693</v>
      </c>
      <c r="CH48" s="104">
        <v>2913</v>
      </c>
      <c r="CI48" s="104">
        <v>1465</v>
      </c>
      <c r="CJ48" s="104">
        <v>934</v>
      </c>
      <c r="CK48" s="105">
        <v>1084</v>
      </c>
    </row>
    <row r="49" spans="1:89">
      <c r="A49" s="78" t="str">
        <f t="shared" si="5"/>
        <v xml:space="preserve"> V3X2</v>
      </c>
      <c r="B49" s="96" t="s">
        <v>215</v>
      </c>
      <c r="C49" s="97" t="str">
        <f>C48</f>
        <v>COMMANDO (NEOVEDIC)</v>
      </c>
      <c r="D49" s="98" t="str">
        <f>D48</f>
        <v>NEO VEDIC DRUG PHARMA</v>
      </c>
      <c r="E49" s="97" t="s">
        <v>302</v>
      </c>
      <c r="F49" s="98">
        <v>92.61</v>
      </c>
      <c r="G49" s="99">
        <v>7.2332519999999997E-2</v>
      </c>
      <c r="H49" s="99">
        <v>5.8363401000000002E-2</v>
      </c>
      <c r="I49" s="99">
        <v>8.5997069999999995E-2</v>
      </c>
      <c r="J49" s="99">
        <v>6.7549734E-2</v>
      </c>
      <c r="K49" s="99">
        <v>1.1020590000000001E-3</v>
      </c>
      <c r="L49" s="99">
        <v>10.348000000000001</v>
      </c>
      <c r="M49" s="99">
        <v>7.5369999999999999</v>
      </c>
      <c r="N49" s="99">
        <v>9.5009999999999994</v>
      </c>
      <c r="O49" s="99">
        <v>7.2939999999999996</v>
      </c>
      <c r="P49" s="99">
        <v>0.11899999999999999</v>
      </c>
      <c r="Q49" s="99"/>
      <c r="R49" s="99">
        <v>72000</v>
      </c>
      <c r="S49" s="99">
        <v>69120</v>
      </c>
      <c r="T49" s="99">
        <v>107640</v>
      </c>
      <c r="U49" s="99">
        <v>97740</v>
      </c>
      <c r="V49" s="99">
        <v>84150</v>
      </c>
      <c r="W49" s="99">
        <v>75510</v>
      </c>
      <c r="X49" s="99">
        <v>56250</v>
      </c>
      <c r="Y49" s="99">
        <v>49230</v>
      </c>
      <c r="Z49" s="99">
        <v>75150</v>
      </c>
      <c r="AA49" s="99">
        <v>47694.15</v>
      </c>
      <c r="AB49" s="99">
        <v>53713.8</v>
      </c>
      <c r="AC49" s="99">
        <v>71772.75</v>
      </c>
      <c r="AD49" s="99">
        <v>99370.53</v>
      </c>
      <c r="AE49" s="99">
        <v>76218.03</v>
      </c>
      <c r="AF49" s="99">
        <v>71680.14</v>
      </c>
      <c r="AG49" s="99">
        <v>51213.33</v>
      </c>
      <c r="AH49" s="99">
        <v>46768.05</v>
      </c>
      <c r="AI49" s="99">
        <v>84182.49</v>
      </c>
      <c r="AJ49" s="99">
        <v>75199.320000000007</v>
      </c>
      <c r="AK49" s="99">
        <v>85293.81</v>
      </c>
      <c r="AL49" s="99">
        <v>85571.64</v>
      </c>
      <c r="AM49" s="99">
        <v>0</v>
      </c>
      <c r="AN49" s="99">
        <v>0</v>
      </c>
      <c r="AO49" s="99">
        <v>0</v>
      </c>
      <c r="AP49" s="99">
        <v>0</v>
      </c>
      <c r="AQ49" s="99">
        <v>0</v>
      </c>
      <c r="AR49" s="99">
        <v>0</v>
      </c>
      <c r="AS49" s="99">
        <v>1574.37</v>
      </c>
      <c r="AT49" s="99">
        <v>1759.59</v>
      </c>
      <c r="AU49" s="99">
        <v>1759.59</v>
      </c>
      <c r="AV49" s="99">
        <v>1852.2</v>
      </c>
      <c r="AW49" s="99">
        <v>1944.81</v>
      </c>
      <c r="AX49" s="99">
        <v>2037.42</v>
      </c>
      <c r="AY49" s="99">
        <v>0</v>
      </c>
      <c r="AZ49" s="99">
        <v>0</v>
      </c>
      <c r="BA49" s="99">
        <v>92.61</v>
      </c>
      <c r="BB49" s="99">
        <v>800</v>
      </c>
      <c r="BC49" s="99">
        <v>768</v>
      </c>
      <c r="BD49" s="99">
        <v>1196</v>
      </c>
      <c r="BE49" s="99">
        <v>1086</v>
      </c>
      <c r="BF49" s="99">
        <v>935</v>
      </c>
      <c r="BG49" s="99">
        <v>839</v>
      </c>
      <c r="BH49" s="99">
        <v>625</v>
      </c>
      <c r="BI49" s="99">
        <v>547</v>
      </c>
      <c r="BJ49" s="99">
        <v>835</v>
      </c>
      <c r="BK49" s="99">
        <v>515</v>
      </c>
      <c r="BL49" s="99">
        <v>580</v>
      </c>
      <c r="BM49" s="99">
        <v>775</v>
      </c>
      <c r="BN49" s="99">
        <v>1073</v>
      </c>
      <c r="BO49" s="99">
        <v>823</v>
      </c>
      <c r="BP49" s="99">
        <v>774</v>
      </c>
      <c r="BQ49" s="99">
        <v>553</v>
      </c>
      <c r="BR49" s="99">
        <v>505</v>
      </c>
      <c r="BS49" s="99">
        <v>909</v>
      </c>
      <c r="BT49" s="99">
        <v>812</v>
      </c>
      <c r="BU49" s="99">
        <v>921</v>
      </c>
      <c r="BV49" s="99">
        <v>924</v>
      </c>
      <c r="BW49" s="99">
        <v>0</v>
      </c>
      <c r="BX49" s="99">
        <v>0</v>
      </c>
      <c r="BY49" s="99">
        <v>0</v>
      </c>
      <c r="BZ49" s="99">
        <v>0</v>
      </c>
      <c r="CA49" s="99">
        <v>0</v>
      </c>
      <c r="CB49" s="99">
        <v>0</v>
      </c>
      <c r="CC49" s="99">
        <v>17</v>
      </c>
      <c r="CD49" s="99">
        <v>19</v>
      </c>
      <c r="CE49" s="99">
        <v>19</v>
      </c>
      <c r="CF49" s="99">
        <v>20</v>
      </c>
      <c r="CG49" s="99">
        <v>21</v>
      </c>
      <c r="CH49" s="99">
        <v>22</v>
      </c>
      <c r="CI49" s="99">
        <v>0</v>
      </c>
      <c r="CJ49" s="99">
        <v>0</v>
      </c>
      <c r="CK49" s="100">
        <v>1</v>
      </c>
    </row>
    <row r="50" spans="1:89">
      <c r="A50" s="78" t="str">
        <f t="shared" si="5"/>
        <v xml:space="preserve"> V3X2</v>
      </c>
      <c r="B50" s="101" t="s">
        <v>215</v>
      </c>
      <c r="C50" s="102" t="s">
        <v>303</v>
      </c>
      <c r="D50" s="103" t="s">
        <v>222</v>
      </c>
      <c r="E50" s="102" t="s">
        <v>304</v>
      </c>
      <c r="F50" s="103">
        <v>135.71</v>
      </c>
      <c r="G50" s="104">
        <v>0.13467695700000001</v>
      </c>
      <c r="H50" s="104">
        <v>0.13374306699999999</v>
      </c>
      <c r="I50" s="104">
        <v>0.11468444</v>
      </c>
      <c r="J50" s="104">
        <v>5.3586427999999998E-2</v>
      </c>
      <c r="K50" s="104">
        <v>5.0526360999999999E-2</v>
      </c>
      <c r="L50" s="104">
        <v>10.782</v>
      </c>
      <c r="M50" s="104">
        <v>10.536</v>
      </c>
      <c r="N50" s="104">
        <v>8.92</v>
      </c>
      <c r="O50" s="104">
        <v>4.1440000000000001</v>
      </c>
      <c r="P50" s="104">
        <v>3.7429999999999999</v>
      </c>
      <c r="Q50" s="104"/>
      <c r="R50" s="104">
        <v>113655.88</v>
      </c>
      <c r="S50" s="104">
        <v>124584.33</v>
      </c>
      <c r="T50" s="104">
        <v>119570.1</v>
      </c>
      <c r="U50" s="104">
        <v>113141.6</v>
      </c>
      <c r="V50" s="104">
        <v>68270.67</v>
      </c>
      <c r="W50" s="104">
        <v>70199.22</v>
      </c>
      <c r="X50" s="104">
        <v>95141.8</v>
      </c>
      <c r="Y50" s="104">
        <v>70199.22</v>
      </c>
      <c r="Z50" s="104">
        <v>69427.8</v>
      </c>
      <c r="AA50" s="104">
        <v>88841.87</v>
      </c>
      <c r="AB50" s="104">
        <v>100284.6</v>
      </c>
      <c r="AC50" s="104">
        <v>113527.31</v>
      </c>
      <c r="AD50" s="104">
        <v>81513.38</v>
      </c>
      <c r="AE50" s="104">
        <v>86013.33</v>
      </c>
      <c r="AF50" s="104">
        <v>57470.79</v>
      </c>
      <c r="AG50" s="104">
        <v>38056.720000000001</v>
      </c>
      <c r="AH50" s="104">
        <v>22756.89</v>
      </c>
      <c r="AI50" s="104">
        <v>28542.54</v>
      </c>
      <c r="AJ50" s="104">
        <v>30856.799999999999</v>
      </c>
      <c r="AK50" s="104">
        <v>30085.38</v>
      </c>
      <c r="AL50" s="104">
        <v>25071.15</v>
      </c>
      <c r="AM50" s="104">
        <v>37799.58</v>
      </c>
      <c r="AN50" s="104">
        <v>39342.42</v>
      </c>
      <c r="AO50" s="104">
        <v>58355.3</v>
      </c>
      <c r="AP50" s="104">
        <v>56183.94</v>
      </c>
      <c r="AQ50" s="104">
        <v>58898.14</v>
      </c>
      <c r="AR50" s="104">
        <v>48599.46</v>
      </c>
      <c r="AS50" s="104">
        <v>33656.080000000002</v>
      </c>
      <c r="AT50" s="104">
        <v>26192.03</v>
      </c>
      <c r="AU50" s="104">
        <v>28091.97</v>
      </c>
      <c r="AV50" s="104">
        <v>32298.98</v>
      </c>
      <c r="AW50" s="104">
        <v>50484.12</v>
      </c>
      <c r="AX50" s="104">
        <v>33113.24</v>
      </c>
      <c r="AY50" s="104">
        <v>43291.49</v>
      </c>
      <c r="AZ50" s="104">
        <v>48041.34</v>
      </c>
      <c r="BA50" s="104">
        <v>46412.82</v>
      </c>
      <c r="BB50" s="104">
        <v>884</v>
      </c>
      <c r="BC50" s="104">
        <v>969</v>
      </c>
      <c r="BD50" s="104">
        <v>930</v>
      </c>
      <c r="BE50" s="104">
        <v>880</v>
      </c>
      <c r="BF50" s="104">
        <v>531</v>
      </c>
      <c r="BG50" s="104">
        <v>546</v>
      </c>
      <c r="BH50" s="104">
        <v>740</v>
      </c>
      <c r="BI50" s="104">
        <v>546</v>
      </c>
      <c r="BJ50" s="104">
        <v>540</v>
      </c>
      <c r="BK50" s="104">
        <v>691</v>
      </c>
      <c r="BL50" s="104">
        <v>780</v>
      </c>
      <c r="BM50" s="104">
        <v>883</v>
      </c>
      <c r="BN50" s="104">
        <v>634</v>
      </c>
      <c r="BO50" s="104">
        <v>669</v>
      </c>
      <c r="BP50" s="104">
        <v>447</v>
      </c>
      <c r="BQ50" s="104">
        <v>296</v>
      </c>
      <c r="BR50" s="104">
        <v>177</v>
      </c>
      <c r="BS50" s="104">
        <v>222</v>
      </c>
      <c r="BT50" s="104">
        <v>240</v>
      </c>
      <c r="BU50" s="104">
        <v>234</v>
      </c>
      <c r="BV50" s="104">
        <v>195</v>
      </c>
      <c r="BW50" s="104">
        <v>294</v>
      </c>
      <c r="BX50" s="104">
        <v>306</v>
      </c>
      <c r="BY50" s="104">
        <v>430</v>
      </c>
      <c r="BZ50" s="104">
        <v>414</v>
      </c>
      <c r="CA50" s="104">
        <v>434</v>
      </c>
      <c r="CB50" s="104">
        <v>378</v>
      </c>
      <c r="CC50" s="104">
        <v>248</v>
      </c>
      <c r="CD50" s="104">
        <v>193</v>
      </c>
      <c r="CE50" s="104">
        <v>207</v>
      </c>
      <c r="CF50" s="104">
        <v>238</v>
      </c>
      <c r="CG50" s="104">
        <v>372</v>
      </c>
      <c r="CH50" s="104">
        <v>244</v>
      </c>
      <c r="CI50" s="104">
        <v>319</v>
      </c>
      <c r="CJ50" s="104">
        <v>354</v>
      </c>
      <c r="CK50" s="105">
        <v>342</v>
      </c>
    </row>
    <row r="51" spans="1:89">
      <c r="A51" s="78" t="str">
        <f t="shared" si="5"/>
        <v xml:space="preserve"> V3X2</v>
      </c>
      <c r="B51" s="96" t="s">
        <v>215</v>
      </c>
      <c r="C51" s="97" t="s">
        <v>305</v>
      </c>
      <c r="D51" s="98" t="s">
        <v>306</v>
      </c>
      <c r="E51" s="97" t="s">
        <v>307</v>
      </c>
      <c r="F51" s="98">
        <v>150.94</v>
      </c>
      <c r="G51" s="99">
        <v>2.7514006000000001E-2</v>
      </c>
      <c r="H51" s="99">
        <v>4.5885759999999996E-3</v>
      </c>
      <c r="I51" s="99">
        <v>0</v>
      </c>
      <c r="J51" s="99">
        <v>0</v>
      </c>
      <c r="K51" s="99">
        <v>0</v>
      </c>
      <c r="L51" s="99">
        <v>1.829</v>
      </c>
      <c r="M51" s="99">
        <v>0.30399999999999999</v>
      </c>
      <c r="N51" s="99">
        <v>0</v>
      </c>
      <c r="O51" s="99">
        <v>0</v>
      </c>
      <c r="P51" s="99">
        <v>0</v>
      </c>
      <c r="Q51" s="99"/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Z51" s="99">
        <v>0</v>
      </c>
      <c r="AA51" s="99">
        <v>0</v>
      </c>
      <c r="AB51" s="99">
        <v>0</v>
      </c>
      <c r="AC51" s="99">
        <v>0</v>
      </c>
      <c r="AD51" s="99">
        <v>0</v>
      </c>
      <c r="AE51" s="99">
        <v>0</v>
      </c>
      <c r="AF51" s="99">
        <v>0</v>
      </c>
      <c r="AG51" s="99">
        <v>0</v>
      </c>
      <c r="AH51" s="99">
        <v>0</v>
      </c>
      <c r="AI51" s="99">
        <v>0</v>
      </c>
      <c r="AJ51" s="99">
        <v>0</v>
      </c>
      <c r="AK51" s="99">
        <v>0</v>
      </c>
      <c r="AL51" s="99">
        <v>0</v>
      </c>
      <c r="AM51" s="99">
        <v>0</v>
      </c>
      <c r="AN51" s="99">
        <v>0</v>
      </c>
      <c r="AO51" s="99">
        <v>0</v>
      </c>
      <c r="AP51" s="99">
        <v>0</v>
      </c>
      <c r="AQ51" s="99">
        <v>0</v>
      </c>
      <c r="AR51" s="99">
        <v>0</v>
      </c>
      <c r="AS51" s="99">
        <v>0</v>
      </c>
      <c r="AT51" s="99">
        <v>0</v>
      </c>
      <c r="AU51" s="99">
        <v>0</v>
      </c>
      <c r="AV51" s="99">
        <v>0</v>
      </c>
      <c r="AW51" s="99">
        <v>0</v>
      </c>
      <c r="AX51" s="99">
        <v>0</v>
      </c>
      <c r="AY51" s="99">
        <v>0</v>
      </c>
      <c r="AZ51" s="99">
        <v>0</v>
      </c>
      <c r="BA51" s="99">
        <v>0</v>
      </c>
      <c r="BB51" s="99">
        <v>0</v>
      </c>
      <c r="BC51" s="99">
        <v>0</v>
      </c>
      <c r="BD51" s="99">
        <v>0</v>
      </c>
      <c r="BE51" s="99">
        <v>0</v>
      </c>
      <c r="BF51" s="99">
        <v>0</v>
      </c>
      <c r="BG51" s="99">
        <v>0</v>
      </c>
      <c r="BH51" s="99">
        <v>0</v>
      </c>
      <c r="BI51" s="99">
        <v>0</v>
      </c>
      <c r="BJ51" s="99">
        <v>0</v>
      </c>
      <c r="BK51" s="99">
        <v>0</v>
      </c>
      <c r="BL51" s="99">
        <v>0</v>
      </c>
      <c r="BM51" s="99">
        <v>0</v>
      </c>
      <c r="BN51" s="99">
        <v>0</v>
      </c>
      <c r="BO51" s="99">
        <v>0</v>
      </c>
      <c r="BP51" s="99">
        <v>0</v>
      </c>
      <c r="BQ51" s="99">
        <v>0</v>
      </c>
      <c r="BR51" s="99">
        <v>0</v>
      </c>
      <c r="BS51" s="99">
        <v>0</v>
      </c>
      <c r="BT51" s="99">
        <v>0</v>
      </c>
      <c r="BU51" s="99">
        <v>0</v>
      </c>
      <c r="BV51" s="99">
        <v>0</v>
      </c>
      <c r="BW51" s="99">
        <v>0</v>
      </c>
      <c r="BX51" s="99">
        <v>0</v>
      </c>
      <c r="BY51" s="99">
        <v>0</v>
      </c>
      <c r="BZ51" s="99">
        <v>0</v>
      </c>
      <c r="CA51" s="99">
        <v>0</v>
      </c>
      <c r="CB51" s="99">
        <v>0</v>
      </c>
      <c r="CC51" s="99">
        <v>0</v>
      </c>
      <c r="CD51" s="99">
        <v>0</v>
      </c>
      <c r="CE51" s="99">
        <v>0</v>
      </c>
      <c r="CF51" s="99">
        <v>0</v>
      </c>
      <c r="CG51" s="99">
        <v>0</v>
      </c>
      <c r="CH51" s="99">
        <v>0</v>
      </c>
      <c r="CI51" s="99">
        <v>0</v>
      </c>
      <c r="CJ51" s="99">
        <v>0</v>
      </c>
      <c r="CK51" s="100">
        <v>0</v>
      </c>
    </row>
    <row r="52" spans="1:89">
      <c r="A52" s="78" t="str">
        <f t="shared" si="5"/>
        <v xml:space="preserve"> V3X2</v>
      </c>
      <c r="B52" s="101" t="s">
        <v>215</v>
      </c>
      <c r="C52" s="102" t="str">
        <f>C51</f>
        <v>VALIDO PLUS</v>
      </c>
      <c r="D52" s="103" t="str">
        <f>D51</f>
        <v>UNIVERSAL MEDIKIT</v>
      </c>
      <c r="E52" s="102" t="s">
        <v>308</v>
      </c>
      <c r="F52" s="103">
        <v>300</v>
      </c>
      <c r="G52" s="104">
        <v>0</v>
      </c>
      <c r="H52" s="104">
        <v>1.2811262E-2</v>
      </c>
      <c r="I52" s="104">
        <v>4.8930000000000001E-2</v>
      </c>
      <c r="J52" s="104">
        <v>9.1500000000000001E-3</v>
      </c>
      <c r="K52" s="104">
        <v>2.3550000000000001E-2</v>
      </c>
      <c r="L52" s="104">
        <v>0</v>
      </c>
      <c r="M52" s="104">
        <v>0.51300000000000001</v>
      </c>
      <c r="N52" s="104">
        <v>1.631</v>
      </c>
      <c r="O52" s="104">
        <v>0.30499999999999999</v>
      </c>
      <c r="P52" s="104">
        <v>0.78500000000000003</v>
      </c>
      <c r="Q52" s="104"/>
      <c r="R52" s="104">
        <v>43200</v>
      </c>
      <c r="S52" s="104">
        <v>27900</v>
      </c>
      <c r="T52" s="104">
        <v>13200</v>
      </c>
      <c r="U52" s="104">
        <v>94800</v>
      </c>
      <c r="V52" s="104">
        <v>74400</v>
      </c>
      <c r="W52" s="104">
        <v>68100</v>
      </c>
      <c r="X52" s="104">
        <v>58800</v>
      </c>
      <c r="Y52" s="104">
        <v>57900</v>
      </c>
      <c r="Z52" s="104">
        <v>10800</v>
      </c>
      <c r="AA52" s="104">
        <v>11400</v>
      </c>
      <c r="AB52" s="104">
        <v>14700</v>
      </c>
      <c r="AC52" s="104">
        <v>14100</v>
      </c>
      <c r="AD52" s="104">
        <v>13500</v>
      </c>
      <c r="AE52" s="104">
        <v>11700</v>
      </c>
      <c r="AF52" s="104">
        <v>9300</v>
      </c>
      <c r="AG52" s="104">
        <v>9600</v>
      </c>
      <c r="AH52" s="104">
        <v>10800</v>
      </c>
      <c r="AI52" s="104">
        <v>9000</v>
      </c>
      <c r="AJ52" s="104">
        <v>3000</v>
      </c>
      <c r="AK52" s="104">
        <v>3600</v>
      </c>
      <c r="AL52" s="104">
        <v>4500</v>
      </c>
      <c r="AM52" s="104">
        <v>8400</v>
      </c>
      <c r="AN52" s="104">
        <v>4500</v>
      </c>
      <c r="AO52" s="104">
        <v>3600</v>
      </c>
      <c r="AP52" s="104">
        <v>3900</v>
      </c>
      <c r="AQ52" s="104">
        <v>7800</v>
      </c>
      <c r="AR52" s="104">
        <v>16800</v>
      </c>
      <c r="AS52" s="104">
        <v>14700</v>
      </c>
      <c r="AT52" s="104">
        <v>15900</v>
      </c>
      <c r="AU52" s="104">
        <v>14100</v>
      </c>
      <c r="AV52" s="104">
        <v>13500</v>
      </c>
      <c r="AW52" s="104">
        <v>15000</v>
      </c>
      <c r="AX52" s="104">
        <v>18600</v>
      </c>
      <c r="AY52" s="104">
        <v>30900</v>
      </c>
      <c r="AZ52" s="104">
        <v>44400</v>
      </c>
      <c r="BA52" s="104">
        <v>39900</v>
      </c>
      <c r="BB52" s="104">
        <v>144</v>
      </c>
      <c r="BC52" s="104">
        <v>93</v>
      </c>
      <c r="BD52" s="104">
        <v>44</v>
      </c>
      <c r="BE52" s="104">
        <v>316</v>
      </c>
      <c r="BF52" s="104">
        <v>248</v>
      </c>
      <c r="BG52" s="104">
        <v>227</v>
      </c>
      <c r="BH52" s="104">
        <v>196</v>
      </c>
      <c r="BI52" s="104">
        <v>193</v>
      </c>
      <c r="BJ52" s="104">
        <v>36</v>
      </c>
      <c r="BK52" s="104">
        <v>38</v>
      </c>
      <c r="BL52" s="104">
        <v>49</v>
      </c>
      <c r="BM52" s="104">
        <v>47</v>
      </c>
      <c r="BN52" s="104">
        <v>45</v>
      </c>
      <c r="BO52" s="104">
        <v>39</v>
      </c>
      <c r="BP52" s="104">
        <v>31</v>
      </c>
      <c r="BQ52" s="104">
        <v>32</v>
      </c>
      <c r="BR52" s="104">
        <v>36</v>
      </c>
      <c r="BS52" s="104">
        <v>30</v>
      </c>
      <c r="BT52" s="104">
        <v>10</v>
      </c>
      <c r="BU52" s="104">
        <v>12</v>
      </c>
      <c r="BV52" s="104">
        <v>15</v>
      </c>
      <c r="BW52" s="104">
        <v>28</v>
      </c>
      <c r="BX52" s="104">
        <v>15</v>
      </c>
      <c r="BY52" s="104">
        <v>12</v>
      </c>
      <c r="BZ52" s="104">
        <v>13</v>
      </c>
      <c r="CA52" s="104">
        <v>26</v>
      </c>
      <c r="CB52" s="104">
        <v>56</v>
      </c>
      <c r="CC52" s="104">
        <v>49</v>
      </c>
      <c r="CD52" s="104">
        <v>53</v>
      </c>
      <c r="CE52" s="104">
        <v>47</v>
      </c>
      <c r="CF52" s="104">
        <v>45</v>
      </c>
      <c r="CG52" s="104">
        <v>50</v>
      </c>
      <c r="CH52" s="104">
        <v>62</v>
      </c>
      <c r="CI52" s="104">
        <v>103</v>
      </c>
      <c r="CJ52" s="104">
        <v>148</v>
      </c>
      <c r="CK52" s="105">
        <v>133</v>
      </c>
    </row>
    <row r="53" spans="1:89">
      <c r="A53" s="78" t="str">
        <f t="shared" si="5"/>
        <v xml:space="preserve"> V3X2</v>
      </c>
      <c r="B53" s="96" t="s">
        <v>215</v>
      </c>
      <c r="C53" s="97" t="s">
        <v>309</v>
      </c>
      <c r="D53" s="98" t="s">
        <v>310</v>
      </c>
      <c r="E53" s="97" t="s">
        <v>311</v>
      </c>
      <c r="F53" s="98">
        <v>50</v>
      </c>
      <c r="G53" s="99">
        <v>5.8131169999999996E-3</v>
      </c>
      <c r="H53" s="99">
        <v>8.4048460000000005E-3</v>
      </c>
      <c r="I53" s="99">
        <v>9.0606039999999999E-3</v>
      </c>
      <c r="J53" s="99">
        <v>1.3801536E-2</v>
      </c>
      <c r="K53" s="99">
        <v>1.7505E-2</v>
      </c>
      <c r="L53" s="99">
        <v>1.306</v>
      </c>
      <c r="M53" s="99">
        <v>1.9610000000000001</v>
      </c>
      <c r="N53" s="99">
        <v>2.1139999999999999</v>
      </c>
      <c r="O53" s="99">
        <v>2.8140000000000001</v>
      </c>
      <c r="P53" s="99">
        <v>3.5009999999999999</v>
      </c>
      <c r="Q53" s="99"/>
      <c r="R53" s="99">
        <v>6471.86</v>
      </c>
      <c r="S53" s="99">
        <v>4757.46</v>
      </c>
      <c r="T53" s="99">
        <v>4757.46</v>
      </c>
      <c r="U53" s="99">
        <v>8400.56</v>
      </c>
      <c r="V53" s="99">
        <v>5057.4799999999996</v>
      </c>
      <c r="W53" s="99">
        <v>3171.64</v>
      </c>
      <c r="X53" s="99">
        <v>7971.96</v>
      </c>
      <c r="Y53" s="99">
        <v>19929.900000000001</v>
      </c>
      <c r="Z53" s="99">
        <v>5357.5</v>
      </c>
      <c r="AA53" s="99">
        <v>3600.24</v>
      </c>
      <c r="AB53" s="99">
        <v>11957.94</v>
      </c>
      <c r="AC53" s="99">
        <v>9172.0400000000009</v>
      </c>
      <c r="AD53" s="99">
        <v>16115.36</v>
      </c>
      <c r="AE53" s="99">
        <v>11550</v>
      </c>
      <c r="AF53" s="99">
        <v>11450</v>
      </c>
      <c r="AG53" s="99">
        <v>9350</v>
      </c>
      <c r="AH53" s="99">
        <v>6250</v>
      </c>
      <c r="AI53" s="99">
        <v>3650</v>
      </c>
      <c r="AJ53" s="99">
        <v>13850</v>
      </c>
      <c r="AK53" s="99">
        <v>15900</v>
      </c>
      <c r="AL53" s="99">
        <v>20050</v>
      </c>
      <c r="AM53" s="99">
        <v>13300</v>
      </c>
      <c r="AN53" s="99">
        <v>5750</v>
      </c>
      <c r="AO53" s="99">
        <v>10800</v>
      </c>
      <c r="AP53" s="99">
        <v>18300</v>
      </c>
      <c r="AQ53" s="99">
        <v>21350</v>
      </c>
      <c r="AR53" s="99">
        <v>15150</v>
      </c>
      <c r="AS53" s="99">
        <v>9250</v>
      </c>
      <c r="AT53" s="99">
        <v>6300</v>
      </c>
      <c r="AU53" s="99">
        <v>12700</v>
      </c>
      <c r="AV53" s="99">
        <v>18000</v>
      </c>
      <c r="AW53" s="99">
        <v>11500</v>
      </c>
      <c r="AX53" s="99">
        <v>19600</v>
      </c>
      <c r="AY53" s="99">
        <v>8900</v>
      </c>
      <c r="AZ53" s="99">
        <v>11150</v>
      </c>
      <c r="BA53" s="99">
        <v>22850</v>
      </c>
      <c r="BB53" s="99">
        <v>151</v>
      </c>
      <c r="BC53" s="99">
        <v>111</v>
      </c>
      <c r="BD53" s="99">
        <v>111</v>
      </c>
      <c r="BE53" s="99">
        <v>196</v>
      </c>
      <c r="BF53" s="99">
        <v>118</v>
      </c>
      <c r="BG53" s="99">
        <v>74</v>
      </c>
      <c r="BH53" s="99">
        <v>186</v>
      </c>
      <c r="BI53" s="99">
        <v>465</v>
      </c>
      <c r="BJ53" s="99">
        <v>125</v>
      </c>
      <c r="BK53" s="99">
        <v>84</v>
      </c>
      <c r="BL53" s="99">
        <v>279</v>
      </c>
      <c r="BM53" s="99">
        <v>214</v>
      </c>
      <c r="BN53" s="99">
        <v>376</v>
      </c>
      <c r="BO53" s="99">
        <v>231</v>
      </c>
      <c r="BP53" s="99">
        <v>229</v>
      </c>
      <c r="BQ53" s="99">
        <v>187</v>
      </c>
      <c r="BR53" s="99">
        <v>125</v>
      </c>
      <c r="BS53" s="99">
        <v>73</v>
      </c>
      <c r="BT53" s="99">
        <v>277</v>
      </c>
      <c r="BU53" s="99">
        <v>318</v>
      </c>
      <c r="BV53" s="99">
        <v>401</v>
      </c>
      <c r="BW53" s="99">
        <v>266</v>
      </c>
      <c r="BX53" s="99">
        <v>115</v>
      </c>
      <c r="BY53" s="99">
        <v>216</v>
      </c>
      <c r="BZ53" s="99">
        <v>366</v>
      </c>
      <c r="CA53" s="99">
        <v>427</v>
      </c>
      <c r="CB53" s="99">
        <v>303</v>
      </c>
      <c r="CC53" s="99">
        <v>185</v>
      </c>
      <c r="CD53" s="99">
        <v>126</v>
      </c>
      <c r="CE53" s="99">
        <v>254</v>
      </c>
      <c r="CF53" s="99">
        <v>360</v>
      </c>
      <c r="CG53" s="99">
        <v>230</v>
      </c>
      <c r="CH53" s="99">
        <v>392</v>
      </c>
      <c r="CI53" s="99">
        <v>178</v>
      </c>
      <c r="CJ53" s="99">
        <v>223</v>
      </c>
      <c r="CK53" s="100">
        <v>457</v>
      </c>
    </row>
    <row r="54" spans="1:89">
      <c r="A54" s="78" t="str">
        <f t="shared" si="5"/>
        <v xml:space="preserve"> V3X2</v>
      </c>
      <c r="B54" s="101" t="s">
        <v>215</v>
      </c>
      <c r="C54" s="102" t="s">
        <v>312</v>
      </c>
      <c r="D54" s="103" t="s">
        <v>313</v>
      </c>
      <c r="E54" s="102" t="s">
        <v>314</v>
      </c>
      <c r="F54" s="103">
        <v>167.41</v>
      </c>
      <c r="G54" s="104">
        <v>0</v>
      </c>
      <c r="H54" s="104">
        <v>0</v>
      </c>
      <c r="I54" s="104">
        <v>9.9341094000000005E-2</v>
      </c>
      <c r="J54" s="104">
        <v>3.8654968999999997E-2</v>
      </c>
      <c r="K54" s="104">
        <v>1.3476505E-2</v>
      </c>
      <c r="L54" s="104">
        <v>0</v>
      </c>
      <c r="M54" s="104">
        <v>0</v>
      </c>
      <c r="N54" s="104">
        <v>5.9340000000000002</v>
      </c>
      <c r="O54" s="104">
        <v>2.3090000000000002</v>
      </c>
      <c r="P54" s="104">
        <v>0.80500000000000005</v>
      </c>
      <c r="Q54" s="104"/>
      <c r="R54" s="104">
        <v>52064.51</v>
      </c>
      <c r="S54" s="104">
        <v>78180.47</v>
      </c>
      <c r="T54" s="104">
        <v>158537.26999999999</v>
      </c>
      <c r="U54" s="104">
        <v>98102.26</v>
      </c>
      <c r="V54" s="104">
        <v>62109.11</v>
      </c>
      <c r="W54" s="104">
        <v>82867.95</v>
      </c>
      <c r="X54" s="104">
        <v>85211.69</v>
      </c>
      <c r="Y54" s="104">
        <v>89396.94</v>
      </c>
      <c r="Z54" s="104">
        <v>81863.490000000005</v>
      </c>
      <c r="AA54" s="104">
        <v>97265.21</v>
      </c>
      <c r="AB54" s="104">
        <v>50557.82</v>
      </c>
      <c r="AC54" s="104">
        <v>57254.22</v>
      </c>
      <c r="AD54" s="104">
        <v>60267.6</v>
      </c>
      <c r="AE54" s="104">
        <v>79184.929999999993</v>
      </c>
      <c r="AF54" s="104">
        <v>55914.94</v>
      </c>
      <c r="AG54" s="104">
        <v>47042.21</v>
      </c>
      <c r="AH54" s="104">
        <v>46707.39</v>
      </c>
      <c r="AI54" s="104">
        <v>25613.73</v>
      </c>
      <c r="AJ54" s="104">
        <v>30133.8</v>
      </c>
      <c r="AK54" s="104">
        <v>13895.03</v>
      </c>
      <c r="AL54" s="104">
        <v>7700.86</v>
      </c>
      <c r="AM54" s="104">
        <v>7868.27</v>
      </c>
      <c r="AN54" s="104">
        <v>6194.17</v>
      </c>
      <c r="AO54" s="104">
        <v>6026.76</v>
      </c>
      <c r="AP54" s="104">
        <v>7198.63</v>
      </c>
      <c r="AQ54" s="104">
        <v>3013.38</v>
      </c>
      <c r="AR54" s="104">
        <v>3348.2</v>
      </c>
      <c r="AS54" s="104">
        <v>2845.97</v>
      </c>
      <c r="AT54" s="104">
        <v>3348.2</v>
      </c>
      <c r="AU54" s="104">
        <v>15234.31</v>
      </c>
      <c r="AV54" s="104">
        <v>14397.26</v>
      </c>
      <c r="AW54" s="104">
        <v>13057.98</v>
      </c>
      <c r="AX54" s="104">
        <v>15234.31</v>
      </c>
      <c r="AY54" s="104">
        <v>14229.85</v>
      </c>
      <c r="AZ54" s="104">
        <v>20256.61</v>
      </c>
      <c r="BA54" s="104">
        <v>22600.35</v>
      </c>
      <c r="BB54" s="104">
        <v>311</v>
      </c>
      <c r="BC54" s="104">
        <v>467</v>
      </c>
      <c r="BD54" s="104">
        <v>947</v>
      </c>
      <c r="BE54" s="104">
        <v>586</v>
      </c>
      <c r="BF54" s="104">
        <v>371</v>
      </c>
      <c r="BG54" s="104">
        <v>495</v>
      </c>
      <c r="BH54" s="104">
        <v>509</v>
      </c>
      <c r="BI54" s="104">
        <v>534</v>
      </c>
      <c r="BJ54" s="104">
        <v>489</v>
      </c>
      <c r="BK54" s="104">
        <v>581</v>
      </c>
      <c r="BL54" s="104">
        <v>302</v>
      </c>
      <c r="BM54" s="104">
        <v>342</v>
      </c>
      <c r="BN54" s="104">
        <v>360</v>
      </c>
      <c r="BO54" s="104">
        <v>473</v>
      </c>
      <c r="BP54" s="104">
        <v>334</v>
      </c>
      <c r="BQ54" s="104">
        <v>281</v>
      </c>
      <c r="BR54" s="104">
        <v>279</v>
      </c>
      <c r="BS54" s="104">
        <v>153</v>
      </c>
      <c r="BT54" s="104">
        <v>180</v>
      </c>
      <c r="BU54" s="104">
        <v>83</v>
      </c>
      <c r="BV54" s="104">
        <v>46</v>
      </c>
      <c r="BW54" s="104">
        <v>47</v>
      </c>
      <c r="BX54" s="104">
        <v>37</v>
      </c>
      <c r="BY54" s="104">
        <v>36</v>
      </c>
      <c r="BZ54" s="104">
        <v>43</v>
      </c>
      <c r="CA54" s="104">
        <v>18</v>
      </c>
      <c r="CB54" s="104">
        <v>20</v>
      </c>
      <c r="CC54" s="104">
        <v>17</v>
      </c>
      <c r="CD54" s="104">
        <v>20</v>
      </c>
      <c r="CE54" s="104">
        <v>91</v>
      </c>
      <c r="CF54" s="104">
        <v>86</v>
      </c>
      <c r="CG54" s="104">
        <v>78</v>
      </c>
      <c r="CH54" s="104">
        <v>91</v>
      </c>
      <c r="CI54" s="104">
        <v>85</v>
      </c>
      <c r="CJ54" s="104">
        <v>121</v>
      </c>
      <c r="CK54" s="105">
        <v>135</v>
      </c>
    </row>
    <row r="55" spans="1:89">
      <c r="A55" s="78" t="str">
        <f t="shared" si="5"/>
        <v xml:space="preserve"> V3X2</v>
      </c>
      <c r="B55" s="96" t="s">
        <v>215</v>
      </c>
      <c r="C55" s="97" t="s">
        <v>315</v>
      </c>
      <c r="D55" s="98" t="s">
        <v>316</v>
      </c>
      <c r="E55" s="97" t="s">
        <v>317</v>
      </c>
      <c r="F55" s="98" t="s">
        <v>473</v>
      </c>
      <c r="G55" s="99">
        <v>0.20622770100000001</v>
      </c>
      <c r="H55" s="99">
        <v>4.3828704000000003E-2</v>
      </c>
      <c r="I55" s="99">
        <v>5.9998400000000002E-4</v>
      </c>
      <c r="J55" s="99">
        <v>0</v>
      </c>
      <c r="K55" s="99">
        <v>1.25716E-2</v>
      </c>
      <c r="L55" s="99">
        <v>18.462</v>
      </c>
      <c r="M55" s="99">
        <v>4.0709999999999997</v>
      </c>
      <c r="N55" s="99">
        <v>5.6000000000000001E-2</v>
      </c>
      <c r="O55" s="99">
        <v>0</v>
      </c>
      <c r="P55" s="99">
        <v>0.4</v>
      </c>
      <c r="Q55" s="99"/>
      <c r="R55" s="99">
        <v>0</v>
      </c>
      <c r="S55" s="99">
        <v>0</v>
      </c>
      <c r="T55" s="99">
        <v>0</v>
      </c>
      <c r="U55" s="99">
        <v>1499.96</v>
      </c>
      <c r="V55" s="99">
        <v>1392.82</v>
      </c>
      <c r="W55" s="99">
        <v>1499.96</v>
      </c>
      <c r="X55" s="99">
        <v>1607.1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0</v>
      </c>
      <c r="AI55" s="99">
        <v>0</v>
      </c>
      <c r="AJ55" s="99">
        <v>0</v>
      </c>
      <c r="AK55" s="99">
        <v>0</v>
      </c>
      <c r="AL55" s="99">
        <v>0</v>
      </c>
      <c r="AM55" s="99">
        <v>0</v>
      </c>
      <c r="AN55" s="99">
        <v>0</v>
      </c>
      <c r="AO55" s="99">
        <v>0</v>
      </c>
      <c r="AP55" s="99">
        <v>0</v>
      </c>
      <c r="AQ55" s="99">
        <v>0</v>
      </c>
      <c r="AR55" s="99">
        <v>0</v>
      </c>
      <c r="AS55" s="99">
        <v>0</v>
      </c>
      <c r="AT55" s="99">
        <v>0</v>
      </c>
      <c r="AU55" s="99">
        <v>0</v>
      </c>
      <c r="AV55" s="99">
        <v>0</v>
      </c>
      <c r="AW55" s="99">
        <v>314.29000000000002</v>
      </c>
      <c r="AX55" s="99">
        <v>16971.66</v>
      </c>
      <c r="AY55" s="99">
        <v>17914.53</v>
      </c>
      <c r="AZ55" s="99">
        <v>9428.7000000000007</v>
      </c>
      <c r="BA55" s="99">
        <v>81086.820000000007</v>
      </c>
      <c r="BB55" s="99">
        <v>0</v>
      </c>
      <c r="BC55" s="99">
        <v>0</v>
      </c>
      <c r="BD55" s="99">
        <v>0</v>
      </c>
      <c r="BE55" s="99">
        <v>14</v>
      </c>
      <c r="BF55" s="99">
        <v>13</v>
      </c>
      <c r="BG55" s="99">
        <v>14</v>
      </c>
      <c r="BH55" s="99">
        <v>15</v>
      </c>
      <c r="BI55" s="99">
        <v>0</v>
      </c>
      <c r="BJ55" s="99">
        <v>0</v>
      </c>
      <c r="BK55" s="99">
        <v>0</v>
      </c>
      <c r="BL55" s="99">
        <v>0</v>
      </c>
      <c r="BM55" s="99">
        <v>0</v>
      </c>
      <c r="BN55" s="99">
        <v>0</v>
      </c>
      <c r="BO55" s="99">
        <v>0</v>
      </c>
      <c r="BP55" s="99">
        <v>0</v>
      </c>
      <c r="BQ55" s="99">
        <v>0</v>
      </c>
      <c r="BR55" s="99">
        <v>0</v>
      </c>
      <c r="BS55" s="99">
        <v>0</v>
      </c>
      <c r="BT55" s="99">
        <v>0</v>
      </c>
      <c r="BU55" s="99">
        <v>0</v>
      </c>
      <c r="BV55" s="99">
        <v>0</v>
      </c>
      <c r="BW55" s="99">
        <v>0</v>
      </c>
      <c r="BX55" s="99">
        <v>0</v>
      </c>
      <c r="BY55" s="99">
        <v>0</v>
      </c>
      <c r="BZ55" s="99">
        <v>0</v>
      </c>
      <c r="CA55" s="99">
        <v>0</v>
      </c>
      <c r="CB55" s="99">
        <v>0</v>
      </c>
      <c r="CC55" s="99">
        <v>0</v>
      </c>
      <c r="CD55" s="99">
        <v>0</v>
      </c>
      <c r="CE55" s="99">
        <v>0</v>
      </c>
      <c r="CF55" s="99">
        <v>0</v>
      </c>
      <c r="CG55" s="99">
        <v>1</v>
      </c>
      <c r="CH55" s="99">
        <v>54</v>
      </c>
      <c r="CI55" s="99">
        <v>57</v>
      </c>
      <c r="CJ55" s="99">
        <v>30</v>
      </c>
      <c r="CK55" s="100">
        <v>258</v>
      </c>
    </row>
    <row r="56" spans="1:89">
      <c r="A56" s="78" t="str">
        <f t="shared" si="5"/>
        <v xml:space="preserve"> V3X2</v>
      </c>
      <c r="B56" s="101" t="s">
        <v>215</v>
      </c>
      <c r="C56" s="102" t="s">
        <v>318</v>
      </c>
      <c r="D56" s="103" t="s">
        <v>319</v>
      </c>
      <c r="E56" s="102" t="s">
        <v>320</v>
      </c>
      <c r="F56" s="103">
        <v>64.290000000000006</v>
      </c>
      <c r="G56" s="104">
        <v>1.2052821E-2</v>
      </c>
      <c r="H56" s="104">
        <v>1.6462061E-2</v>
      </c>
      <c r="I56" s="104">
        <v>8.1212119999999992E-3</v>
      </c>
      <c r="J56" s="104">
        <v>6.6855599999999995E-4</v>
      </c>
      <c r="K56" s="104">
        <v>5.1924670000000001E-3</v>
      </c>
      <c r="L56" s="104">
        <v>2.1469999999999998</v>
      </c>
      <c r="M56" s="104">
        <v>3.073</v>
      </c>
      <c r="N56" s="104">
        <v>1.516</v>
      </c>
      <c r="O56" s="104">
        <v>0.124</v>
      </c>
      <c r="P56" s="104">
        <v>0.81499999999999995</v>
      </c>
      <c r="Q56" s="104"/>
      <c r="R56" s="104">
        <v>13071.08</v>
      </c>
      <c r="S56" s="104">
        <v>9964.02</v>
      </c>
      <c r="T56" s="104">
        <v>7017.67</v>
      </c>
      <c r="U56" s="104">
        <v>6160.55</v>
      </c>
      <c r="V56" s="104">
        <v>10660.43</v>
      </c>
      <c r="W56" s="104">
        <v>4339.17</v>
      </c>
      <c r="X56" s="104">
        <v>5035.58</v>
      </c>
      <c r="Y56" s="104">
        <v>5035.58</v>
      </c>
      <c r="Z56" s="104">
        <v>5249.86</v>
      </c>
      <c r="AA56" s="104">
        <v>7446.23</v>
      </c>
      <c r="AB56" s="104">
        <v>7231.95</v>
      </c>
      <c r="AC56" s="104">
        <v>0</v>
      </c>
      <c r="AD56" s="104">
        <v>107.14</v>
      </c>
      <c r="AE56" s="104">
        <v>1017.83</v>
      </c>
      <c r="AF56" s="104">
        <v>964.26</v>
      </c>
      <c r="AG56" s="104">
        <v>1017.83</v>
      </c>
      <c r="AH56" s="104">
        <v>1178.54</v>
      </c>
      <c r="AI56" s="104">
        <v>214.28</v>
      </c>
      <c r="AJ56" s="104">
        <v>214.28</v>
      </c>
      <c r="AK56" s="104">
        <v>214.28</v>
      </c>
      <c r="AL56" s="104">
        <v>257.16000000000003</v>
      </c>
      <c r="AM56" s="104">
        <v>0</v>
      </c>
      <c r="AN56" s="104">
        <v>0</v>
      </c>
      <c r="AO56" s="104">
        <v>1499.96</v>
      </c>
      <c r="AP56" s="104">
        <v>4307.43</v>
      </c>
      <c r="AQ56" s="104">
        <v>2357.08</v>
      </c>
      <c r="AR56" s="104">
        <v>2700.18</v>
      </c>
      <c r="AS56" s="104">
        <v>4178.8500000000004</v>
      </c>
      <c r="AT56" s="104">
        <v>5143.2</v>
      </c>
      <c r="AU56" s="104">
        <v>10993.59</v>
      </c>
      <c r="AV56" s="104">
        <v>10222.11</v>
      </c>
      <c r="AW56" s="104">
        <v>3150.21</v>
      </c>
      <c r="AX56" s="104">
        <v>1350.09</v>
      </c>
      <c r="AY56" s="104">
        <v>2121.5700000000002</v>
      </c>
      <c r="AZ56" s="104">
        <v>3343.08</v>
      </c>
      <c r="BA56" s="104">
        <v>2057.2800000000002</v>
      </c>
      <c r="BB56" s="104">
        <v>244</v>
      </c>
      <c r="BC56" s="104">
        <v>186</v>
      </c>
      <c r="BD56" s="104">
        <v>131</v>
      </c>
      <c r="BE56" s="104">
        <v>115</v>
      </c>
      <c r="BF56" s="104">
        <v>199</v>
      </c>
      <c r="BG56" s="104">
        <v>81</v>
      </c>
      <c r="BH56" s="104">
        <v>94</v>
      </c>
      <c r="BI56" s="104">
        <v>94</v>
      </c>
      <c r="BJ56" s="104">
        <v>98</v>
      </c>
      <c r="BK56" s="104">
        <v>139</v>
      </c>
      <c r="BL56" s="104">
        <v>135</v>
      </c>
      <c r="BM56" s="104">
        <v>0</v>
      </c>
      <c r="BN56" s="104">
        <v>2</v>
      </c>
      <c r="BO56" s="104">
        <v>19</v>
      </c>
      <c r="BP56" s="104">
        <v>18</v>
      </c>
      <c r="BQ56" s="104">
        <v>19</v>
      </c>
      <c r="BR56" s="104">
        <v>22</v>
      </c>
      <c r="BS56" s="104">
        <v>4</v>
      </c>
      <c r="BT56" s="104">
        <v>4</v>
      </c>
      <c r="BU56" s="104">
        <v>4</v>
      </c>
      <c r="BV56" s="104">
        <v>4</v>
      </c>
      <c r="BW56" s="104">
        <v>0</v>
      </c>
      <c r="BX56" s="104">
        <v>0</v>
      </c>
      <c r="BY56" s="104">
        <v>28</v>
      </c>
      <c r="BZ56" s="104">
        <v>67</v>
      </c>
      <c r="CA56" s="104">
        <v>44</v>
      </c>
      <c r="CB56" s="104">
        <v>42</v>
      </c>
      <c r="CC56" s="104">
        <v>65</v>
      </c>
      <c r="CD56" s="104">
        <v>80</v>
      </c>
      <c r="CE56" s="104">
        <v>171</v>
      </c>
      <c r="CF56" s="104">
        <v>159</v>
      </c>
      <c r="CG56" s="104">
        <v>49</v>
      </c>
      <c r="CH56" s="104">
        <v>21</v>
      </c>
      <c r="CI56" s="104">
        <v>33</v>
      </c>
      <c r="CJ56" s="104">
        <v>52</v>
      </c>
      <c r="CK56" s="105">
        <v>32</v>
      </c>
    </row>
    <row r="57" spans="1:89">
      <c r="A57" s="78" t="str">
        <f t="shared" si="5"/>
        <v xml:space="preserve"> V3X2</v>
      </c>
      <c r="B57" s="96" t="s">
        <v>215</v>
      </c>
      <c r="C57" s="97" t="s">
        <v>321</v>
      </c>
      <c r="D57" s="98" t="s">
        <v>322</v>
      </c>
      <c r="E57" s="97" t="s">
        <v>323</v>
      </c>
      <c r="F57" s="98">
        <v>130</v>
      </c>
      <c r="G57" s="99">
        <v>5.6116100000000004E-3</v>
      </c>
      <c r="H57" s="99">
        <v>7.6569999999999997E-3</v>
      </c>
      <c r="I57" s="99">
        <v>2.5999999999999998E-4</v>
      </c>
      <c r="J57" s="99">
        <v>0</v>
      </c>
      <c r="K57" s="99">
        <v>0</v>
      </c>
      <c r="L57" s="99">
        <v>0.432</v>
      </c>
      <c r="M57" s="99">
        <v>0.58899999999999997</v>
      </c>
      <c r="N57" s="99">
        <v>0.02</v>
      </c>
      <c r="O57" s="99">
        <v>0</v>
      </c>
      <c r="P57" s="99">
        <v>0</v>
      </c>
      <c r="Q57" s="99"/>
      <c r="R57" s="99">
        <v>2600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  <c r="AK57" s="99">
        <v>0</v>
      </c>
      <c r="AL57" s="99">
        <v>0</v>
      </c>
      <c r="AM57" s="99">
        <v>0</v>
      </c>
      <c r="AN57" s="99">
        <v>0</v>
      </c>
      <c r="AO57" s="99">
        <v>0</v>
      </c>
      <c r="AP57" s="99">
        <v>0</v>
      </c>
      <c r="AQ57" s="99">
        <v>0</v>
      </c>
      <c r="AR57" s="99">
        <v>0</v>
      </c>
      <c r="AS57" s="99">
        <v>0</v>
      </c>
      <c r="AT57" s="99">
        <v>0</v>
      </c>
      <c r="AU57" s="99">
        <v>0</v>
      </c>
      <c r="AV57" s="99">
        <v>0</v>
      </c>
      <c r="AW57" s="99">
        <v>0</v>
      </c>
      <c r="AX57" s="99">
        <v>0</v>
      </c>
      <c r="AY57" s="99">
        <v>0</v>
      </c>
      <c r="AZ57" s="99">
        <v>0</v>
      </c>
      <c r="BA57" s="99">
        <v>0</v>
      </c>
      <c r="BB57" s="99">
        <v>20</v>
      </c>
      <c r="BC57" s="99">
        <v>0</v>
      </c>
      <c r="BD57" s="99">
        <v>0</v>
      </c>
      <c r="BE57" s="99">
        <v>0</v>
      </c>
      <c r="BF57" s="99">
        <v>0</v>
      </c>
      <c r="BG57" s="99">
        <v>0</v>
      </c>
      <c r="BH57" s="99">
        <v>0</v>
      </c>
      <c r="BI57" s="99">
        <v>0</v>
      </c>
      <c r="BJ57" s="99">
        <v>0</v>
      </c>
      <c r="BK57" s="99">
        <v>0</v>
      </c>
      <c r="BL57" s="99">
        <v>0</v>
      </c>
      <c r="BM57" s="99">
        <v>0</v>
      </c>
      <c r="BN57" s="99">
        <v>0</v>
      </c>
      <c r="BO57" s="99">
        <v>0</v>
      </c>
      <c r="BP57" s="99">
        <v>0</v>
      </c>
      <c r="BQ57" s="99">
        <v>0</v>
      </c>
      <c r="BR57" s="99">
        <v>0</v>
      </c>
      <c r="BS57" s="99">
        <v>0</v>
      </c>
      <c r="BT57" s="99">
        <v>0</v>
      </c>
      <c r="BU57" s="99">
        <v>0</v>
      </c>
      <c r="BV57" s="99">
        <v>0</v>
      </c>
      <c r="BW57" s="99">
        <v>0</v>
      </c>
      <c r="BX57" s="99">
        <v>0</v>
      </c>
      <c r="BY57" s="99">
        <v>0</v>
      </c>
      <c r="BZ57" s="99">
        <v>0</v>
      </c>
      <c r="CA57" s="99">
        <v>0</v>
      </c>
      <c r="CB57" s="99">
        <v>0</v>
      </c>
      <c r="CC57" s="99">
        <v>0</v>
      </c>
      <c r="CD57" s="99">
        <v>0</v>
      </c>
      <c r="CE57" s="99">
        <v>0</v>
      </c>
      <c r="CF57" s="99">
        <v>0</v>
      </c>
      <c r="CG57" s="99">
        <v>0</v>
      </c>
      <c r="CH57" s="99">
        <v>0</v>
      </c>
      <c r="CI57" s="99">
        <v>0</v>
      </c>
      <c r="CJ57" s="99">
        <v>0</v>
      </c>
      <c r="CK57" s="100">
        <v>0</v>
      </c>
    </row>
    <row r="58" spans="1:89">
      <c r="A58" s="78" t="str">
        <f t="shared" si="5"/>
        <v xml:space="preserve"> V3X2</v>
      </c>
      <c r="B58" s="101" t="s">
        <v>215</v>
      </c>
      <c r="C58" s="102" t="str">
        <f>C57</f>
        <v>UNILACT</v>
      </c>
      <c r="D58" s="103" t="str">
        <f>D57</f>
        <v>UNI LABS</v>
      </c>
      <c r="E58" s="102" t="s">
        <v>324</v>
      </c>
      <c r="F58" s="103">
        <v>60</v>
      </c>
      <c r="G58" s="104">
        <v>2.1853412999999999E-2</v>
      </c>
      <c r="H58" s="104">
        <v>2.12269E-2</v>
      </c>
      <c r="I58" s="104">
        <v>2.27621E-2</v>
      </c>
      <c r="J58" s="104">
        <v>1.6976399999999999E-2</v>
      </c>
      <c r="K58" s="104">
        <v>4.4593999999999996E-3</v>
      </c>
      <c r="L58" s="104">
        <v>5.7910000000000004</v>
      </c>
      <c r="M58" s="104">
        <v>5.5869999999999997</v>
      </c>
      <c r="N58" s="104">
        <v>4.843</v>
      </c>
      <c r="O58" s="104">
        <v>3.6120000000000001</v>
      </c>
      <c r="P58" s="104">
        <v>0.85199999999999998</v>
      </c>
      <c r="Q58" s="104"/>
      <c r="R58" s="104">
        <v>40467</v>
      </c>
      <c r="S58" s="104">
        <v>24158</v>
      </c>
      <c r="T58" s="104">
        <v>25474</v>
      </c>
      <c r="U58" s="104">
        <v>23312</v>
      </c>
      <c r="V58" s="104">
        <v>24393</v>
      </c>
      <c r="W58" s="104">
        <v>10763</v>
      </c>
      <c r="X58" s="104">
        <v>13489</v>
      </c>
      <c r="Y58" s="104">
        <v>10669</v>
      </c>
      <c r="Z58" s="104">
        <v>11421</v>
      </c>
      <c r="AA58" s="104">
        <v>12079</v>
      </c>
      <c r="AB58" s="104">
        <v>15604</v>
      </c>
      <c r="AC58" s="104">
        <v>15792</v>
      </c>
      <c r="AD58" s="104">
        <v>14852</v>
      </c>
      <c r="AE58" s="104">
        <v>12737</v>
      </c>
      <c r="AF58" s="104">
        <v>12925</v>
      </c>
      <c r="AG58" s="104">
        <v>12549</v>
      </c>
      <c r="AH58" s="104">
        <v>20445</v>
      </c>
      <c r="AI58" s="104">
        <v>19223</v>
      </c>
      <c r="AJ58" s="104">
        <v>18753</v>
      </c>
      <c r="AK58" s="104">
        <v>13630</v>
      </c>
      <c r="AL58" s="104">
        <v>10340</v>
      </c>
      <c r="AM58" s="104">
        <v>11186</v>
      </c>
      <c r="AN58" s="104">
        <v>10857</v>
      </c>
      <c r="AO58" s="104">
        <v>12267</v>
      </c>
      <c r="AP58" s="104">
        <v>11421</v>
      </c>
      <c r="AQ58" s="104">
        <v>10763</v>
      </c>
      <c r="AR58" s="104">
        <v>1410</v>
      </c>
      <c r="AS58" s="104">
        <v>2100</v>
      </c>
      <c r="AT58" s="104">
        <v>1980</v>
      </c>
      <c r="AU58" s="104">
        <v>1500</v>
      </c>
      <c r="AV58" s="104">
        <v>1020</v>
      </c>
      <c r="AW58" s="104">
        <v>840</v>
      </c>
      <c r="AX58" s="104">
        <v>2820</v>
      </c>
      <c r="AY58" s="104">
        <v>4020</v>
      </c>
      <c r="AZ58" s="104">
        <v>4920</v>
      </c>
      <c r="BA58" s="104">
        <v>1800</v>
      </c>
      <c r="BB58" s="104">
        <v>861</v>
      </c>
      <c r="BC58" s="104">
        <v>514</v>
      </c>
      <c r="BD58" s="104">
        <v>542</v>
      </c>
      <c r="BE58" s="104">
        <v>496</v>
      </c>
      <c r="BF58" s="104">
        <v>519</v>
      </c>
      <c r="BG58" s="104">
        <v>229</v>
      </c>
      <c r="BH58" s="104">
        <v>287</v>
      </c>
      <c r="BI58" s="104">
        <v>227</v>
      </c>
      <c r="BJ58" s="104">
        <v>243</v>
      </c>
      <c r="BK58" s="104">
        <v>257</v>
      </c>
      <c r="BL58" s="104">
        <v>332</v>
      </c>
      <c r="BM58" s="104">
        <v>336</v>
      </c>
      <c r="BN58" s="104">
        <v>316</v>
      </c>
      <c r="BO58" s="104">
        <v>271</v>
      </c>
      <c r="BP58" s="104">
        <v>275</v>
      </c>
      <c r="BQ58" s="104">
        <v>267</v>
      </c>
      <c r="BR58" s="104">
        <v>435</v>
      </c>
      <c r="BS58" s="104">
        <v>409</v>
      </c>
      <c r="BT58" s="104">
        <v>399</v>
      </c>
      <c r="BU58" s="104">
        <v>290</v>
      </c>
      <c r="BV58" s="104">
        <v>220</v>
      </c>
      <c r="BW58" s="104">
        <v>238</v>
      </c>
      <c r="BX58" s="104">
        <v>231</v>
      </c>
      <c r="BY58" s="104">
        <v>261</v>
      </c>
      <c r="BZ58" s="104">
        <v>243</v>
      </c>
      <c r="CA58" s="104">
        <v>229</v>
      </c>
      <c r="CB58" s="104">
        <v>30</v>
      </c>
      <c r="CC58" s="104">
        <v>35</v>
      </c>
      <c r="CD58" s="104">
        <v>33</v>
      </c>
      <c r="CE58" s="104">
        <v>25</v>
      </c>
      <c r="CF58" s="104">
        <v>17</v>
      </c>
      <c r="CG58" s="104">
        <v>14</v>
      </c>
      <c r="CH58" s="104">
        <v>47</v>
      </c>
      <c r="CI58" s="104">
        <v>67</v>
      </c>
      <c r="CJ58" s="104">
        <v>82</v>
      </c>
      <c r="CK58" s="105">
        <v>30</v>
      </c>
    </row>
    <row r="59" spans="1:89">
      <c r="A59" s="78" t="str">
        <f t="shared" si="5"/>
        <v xml:space="preserve"> V3X2</v>
      </c>
      <c r="B59" s="96" t="s">
        <v>215</v>
      </c>
      <c r="C59" s="97" t="str">
        <f>C58</f>
        <v>UNILACT</v>
      </c>
      <c r="D59" s="98" t="str">
        <f>D58</f>
        <v>UNI LABS</v>
      </c>
      <c r="E59" s="97" t="s">
        <v>325</v>
      </c>
      <c r="F59" s="98">
        <v>115.86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/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Z59" s="99">
        <v>0</v>
      </c>
      <c r="AA59" s="99">
        <v>0</v>
      </c>
      <c r="AB59" s="99">
        <v>0</v>
      </c>
      <c r="AC59" s="99">
        <v>0</v>
      </c>
      <c r="AD59" s="99">
        <v>0</v>
      </c>
      <c r="AE59" s="99">
        <v>0</v>
      </c>
      <c r="AF59" s="99">
        <v>0</v>
      </c>
      <c r="AG59" s="99">
        <v>0</v>
      </c>
      <c r="AH59" s="99">
        <v>0</v>
      </c>
      <c r="AI59" s="99">
        <v>0</v>
      </c>
      <c r="AJ59" s="99">
        <v>0</v>
      </c>
      <c r="AK59" s="99">
        <v>0</v>
      </c>
      <c r="AL59" s="99">
        <v>0</v>
      </c>
      <c r="AM59" s="99">
        <v>0</v>
      </c>
      <c r="AN59" s="99">
        <v>0</v>
      </c>
      <c r="AO59" s="99">
        <v>0</v>
      </c>
      <c r="AP59" s="99">
        <v>0</v>
      </c>
      <c r="AQ59" s="99">
        <v>0</v>
      </c>
      <c r="AR59" s="99">
        <v>0</v>
      </c>
      <c r="AS59" s="99">
        <v>0</v>
      </c>
      <c r="AT59" s="99">
        <v>0</v>
      </c>
      <c r="AU59" s="99">
        <v>0</v>
      </c>
      <c r="AV59" s="99">
        <v>0</v>
      </c>
      <c r="AW59" s="99">
        <v>0</v>
      </c>
      <c r="AX59" s="99">
        <v>0</v>
      </c>
      <c r="AY59" s="99">
        <v>0</v>
      </c>
      <c r="AZ59" s="99">
        <v>0</v>
      </c>
      <c r="BA59" s="99">
        <v>0</v>
      </c>
      <c r="BB59" s="99">
        <v>0</v>
      </c>
      <c r="BC59" s="99">
        <v>0</v>
      </c>
      <c r="BD59" s="99">
        <v>0</v>
      </c>
      <c r="BE59" s="99">
        <v>0</v>
      </c>
      <c r="BF59" s="99">
        <v>0</v>
      </c>
      <c r="BG59" s="99">
        <v>0</v>
      </c>
      <c r="BH59" s="99">
        <v>0</v>
      </c>
      <c r="BI59" s="99">
        <v>0</v>
      </c>
      <c r="BJ59" s="99">
        <v>0</v>
      </c>
      <c r="BK59" s="99">
        <v>0</v>
      </c>
      <c r="BL59" s="99">
        <v>0</v>
      </c>
      <c r="BM59" s="99">
        <v>0</v>
      </c>
      <c r="BN59" s="99">
        <v>0</v>
      </c>
      <c r="BO59" s="99">
        <v>0</v>
      </c>
      <c r="BP59" s="99">
        <v>0</v>
      </c>
      <c r="BQ59" s="99">
        <v>0</v>
      </c>
      <c r="BR59" s="99">
        <v>0</v>
      </c>
      <c r="BS59" s="99">
        <v>0</v>
      </c>
      <c r="BT59" s="99">
        <v>0</v>
      </c>
      <c r="BU59" s="99">
        <v>0</v>
      </c>
      <c r="BV59" s="99">
        <v>0</v>
      </c>
      <c r="BW59" s="99">
        <v>0</v>
      </c>
      <c r="BX59" s="99">
        <v>0</v>
      </c>
      <c r="BY59" s="99">
        <v>0</v>
      </c>
      <c r="BZ59" s="99">
        <v>0</v>
      </c>
      <c r="CA59" s="99">
        <v>0</v>
      </c>
      <c r="CB59" s="99">
        <v>0</v>
      </c>
      <c r="CC59" s="99">
        <v>0</v>
      </c>
      <c r="CD59" s="99">
        <v>0</v>
      </c>
      <c r="CE59" s="99">
        <v>0</v>
      </c>
      <c r="CF59" s="99">
        <v>0</v>
      </c>
      <c r="CG59" s="99">
        <v>0</v>
      </c>
      <c r="CH59" s="99">
        <v>0</v>
      </c>
      <c r="CI59" s="99">
        <v>0</v>
      </c>
      <c r="CJ59" s="99">
        <v>0</v>
      </c>
      <c r="CK59" s="100">
        <v>0</v>
      </c>
    </row>
    <row r="60" spans="1:89">
      <c r="A60" s="78" t="str">
        <f t="shared" si="5"/>
        <v xml:space="preserve"> V3X2</v>
      </c>
      <c r="B60" s="101" t="s">
        <v>215</v>
      </c>
      <c r="C60" s="102" t="s">
        <v>326</v>
      </c>
      <c r="D60" s="103" t="s">
        <v>238</v>
      </c>
      <c r="E60" s="102" t="s">
        <v>327</v>
      </c>
      <c r="F60" s="103">
        <v>50</v>
      </c>
      <c r="G60" s="104">
        <v>0</v>
      </c>
      <c r="H60" s="104">
        <v>8.7500000000000008E-3</v>
      </c>
      <c r="I60" s="104">
        <v>4.2300000000000003E-3</v>
      </c>
      <c r="J60" s="104">
        <v>5.9100000000000003E-3</v>
      </c>
      <c r="K60" s="104">
        <v>3.3600000000000001E-3</v>
      </c>
      <c r="L60" s="104">
        <v>0</v>
      </c>
      <c r="M60" s="104">
        <v>1.75</v>
      </c>
      <c r="N60" s="104">
        <v>0.84599999999999997</v>
      </c>
      <c r="O60" s="104">
        <v>1.1819999999999999</v>
      </c>
      <c r="P60" s="104">
        <v>0.67200000000000004</v>
      </c>
      <c r="Q60" s="104"/>
      <c r="R60" s="104">
        <v>5050</v>
      </c>
      <c r="S60" s="104">
        <v>2350</v>
      </c>
      <c r="T60" s="104">
        <v>1800</v>
      </c>
      <c r="U60" s="104">
        <v>0</v>
      </c>
      <c r="V60" s="104">
        <v>0</v>
      </c>
      <c r="W60" s="104">
        <v>5500</v>
      </c>
      <c r="X60" s="104">
        <v>6350</v>
      </c>
      <c r="Y60" s="104">
        <v>9500</v>
      </c>
      <c r="Z60" s="104">
        <v>5200</v>
      </c>
      <c r="AA60" s="104">
        <v>6350</v>
      </c>
      <c r="AB60" s="104">
        <v>0</v>
      </c>
      <c r="AC60" s="104">
        <v>200</v>
      </c>
      <c r="AD60" s="104">
        <v>15850</v>
      </c>
      <c r="AE60" s="104">
        <v>6600</v>
      </c>
      <c r="AF60" s="104">
        <v>6050</v>
      </c>
      <c r="AG60" s="104">
        <v>6500</v>
      </c>
      <c r="AH60" s="104">
        <v>5800</v>
      </c>
      <c r="AI60" s="104">
        <v>2050</v>
      </c>
      <c r="AJ60" s="104">
        <v>0</v>
      </c>
      <c r="AK60" s="104">
        <v>50</v>
      </c>
      <c r="AL60" s="104">
        <v>6000</v>
      </c>
      <c r="AM60" s="104">
        <v>3800</v>
      </c>
      <c r="AN60" s="104">
        <v>3500</v>
      </c>
      <c r="AO60" s="104">
        <v>2900</v>
      </c>
      <c r="AP60" s="104">
        <v>1750</v>
      </c>
      <c r="AQ60" s="104">
        <v>1800</v>
      </c>
      <c r="AR60" s="104">
        <v>0</v>
      </c>
      <c r="AS60" s="104">
        <v>0</v>
      </c>
      <c r="AT60" s="104">
        <v>0</v>
      </c>
      <c r="AU60" s="104">
        <v>0</v>
      </c>
      <c r="AV60" s="104">
        <v>50</v>
      </c>
      <c r="AW60" s="104">
        <v>2700</v>
      </c>
      <c r="AX60" s="104">
        <v>13250</v>
      </c>
      <c r="AY60" s="104">
        <v>13600</v>
      </c>
      <c r="AZ60" s="104">
        <v>450</v>
      </c>
      <c r="BA60" s="104">
        <v>0</v>
      </c>
      <c r="BB60" s="104">
        <v>101</v>
      </c>
      <c r="BC60" s="104">
        <v>47</v>
      </c>
      <c r="BD60" s="104">
        <v>36</v>
      </c>
      <c r="BE60" s="104">
        <v>0</v>
      </c>
      <c r="BF60" s="104">
        <v>0</v>
      </c>
      <c r="BG60" s="104">
        <v>110</v>
      </c>
      <c r="BH60" s="104">
        <v>127</v>
      </c>
      <c r="BI60" s="104">
        <v>190</v>
      </c>
      <c r="BJ60" s="104">
        <v>104</v>
      </c>
      <c r="BK60" s="104">
        <v>127</v>
      </c>
      <c r="BL60" s="104">
        <v>0</v>
      </c>
      <c r="BM60" s="104">
        <v>4</v>
      </c>
      <c r="BN60" s="104">
        <v>317</v>
      </c>
      <c r="BO60" s="104">
        <v>132</v>
      </c>
      <c r="BP60" s="104">
        <v>121</v>
      </c>
      <c r="BQ60" s="104">
        <v>130</v>
      </c>
      <c r="BR60" s="104">
        <v>116</v>
      </c>
      <c r="BS60" s="104">
        <v>41</v>
      </c>
      <c r="BT60" s="104">
        <v>0</v>
      </c>
      <c r="BU60" s="104">
        <v>1</v>
      </c>
      <c r="BV60" s="104">
        <v>120</v>
      </c>
      <c r="BW60" s="104">
        <v>76</v>
      </c>
      <c r="BX60" s="104">
        <v>70</v>
      </c>
      <c r="BY60" s="104">
        <v>58</v>
      </c>
      <c r="BZ60" s="104">
        <v>35</v>
      </c>
      <c r="CA60" s="104">
        <v>36</v>
      </c>
      <c r="CB60" s="104">
        <v>0</v>
      </c>
      <c r="CC60" s="104">
        <v>0</v>
      </c>
      <c r="CD60" s="104">
        <v>0</v>
      </c>
      <c r="CE60" s="104">
        <v>0</v>
      </c>
      <c r="CF60" s="104">
        <v>1</v>
      </c>
      <c r="CG60" s="104">
        <v>54</v>
      </c>
      <c r="CH60" s="104">
        <v>265</v>
      </c>
      <c r="CI60" s="104">
        <v>272</v>
      </c>
      <c r="CJ60" s="104">
        <v>9</v>
      </c>
      <c r="CK60" s="105">
        <v>0</v>
      </c>
    </row>
    <row r="61" spans="1:89">
      <c r="A61" s="78" t="str">
        <f t="shared" si="5"/>
        <v xml:space="preserve"> V3X2</v>
      </c>
      <c r="B61" s="96" t="s">
        <v>215</v>
      </c>
      <c r="C61" s="97" t="s">
        <v>328</v>
      </c>
      <c r="D61" s="98" t="s">
        <v>329</v>
      </c>
      <c r="E61" s="97" t="s">
        <v>330</v>
      </c>
      <c r="F61" s="98">
        <v>134.29</v>
      </c>
      <c r="G61" s="99">
        <v>0.735446351</v>
      </c>
      <c r="H61" s="99">
        <v>0.68580746299999995</v>
      </c>
      <c r="I61" s="99">
        <v>0.413425194</v>
      </c>
      <c r="J61" s="99">
        <v>0.184608463</v>
      </c>
      <c r="K61" s="99">
        <v>1.3429E-5</v>
      </c>
      <c r="L61" s="99">
        <v>58.073</v>
      </c>
      <c r="M61" s="99">
        <v>53.539000000000001</v>
      </c>
      <c r="N61" s="99">
        <v>30.786000000000001</v>
      </c>
      <c r="O61" s="99">
        <v>13.747</v>
      </c>
      <c r="P61" s="99">
        <v>1E-3</v>
      </c>
      <c r="Q61" s="99"/>
      <c r="R61" s="99">
        <v>421804.89</v>
      </c>
      <c r="S61" s="99">
        <v>477803.82</v>
      </c>
      <c r="T61" s="99">
        <v>533265.59</v>
      </c>
      <c r="U61" s="99">
        <v>373997.65</v>
      </c>
      <c r="V61" s="99">
        <v>366343.12</v>
      </c>
      <c r="W61" s="99">
        <v>270325.77</v>
      </c>
      <c r="X61" s="99">
        <v>293692.23</v>
      </c>
      <c r="Y61" s="99">
        <v>292215.03999999998</v>
      </c>
      <c r="Z61" s="99">
        <v>264148.43</v>
      </c>
      <c r="AA61" s="99">
        <v>232321.7</v>
      </c>
      <c r="AB61" s="99">
        <v>322564.58</v>
      </c>
      <c r="AC61" s="99">
        <v>285769.12</v>
      </c>
      <c r="AD61" s="99">
        <v>280531.81</v>
      </c>
      <c r="AE61" s="99">
        <v>317595.84999999998</v>
      </c>
      <c r="AF61" s="99">
        <v>222921.4</v>
      </c>
      <c r="AG61" s="99">
        <v>170682.59</v>
      </c>
      <c r="AH61" s="99">
        <v>170816.88</v>
      </c>
      <c r="AI61" s="99">
        <v>150539.09</v>
      </c>
      <c r="AJ61" s="99">
        <v>161148</v>
      </c>
      <c r="AK61" s="99">
        <v>142750.26999999999</v>
      </c>
      <c r="AL61" s="99">
        <v>124755.41</v>
      </c>
      <c r="AM61" s="99">
        <v>103269.01</v>
      </c>
      <c r="AN61" s="99">
        <v>1074.32</v>
      </c>
      <c r="AO61" s="99">
        <v>0</v>
      </c>
      <c r="AP61" s="99">
        <v>0</v>
      </c>
      <c r="AQ61" s="99">
        <v>0</v>
      </c>
      <c r="AR61" s="99">
        <v>134.29</v>
      </c>
      <c r="AS61" s="99">
        <v>0</v>
      </c>
      <c r="AT61" s="99">
        <v>0</v>
      </c>
      <c r="AU61" s="99">
        <v>0</v>
      </c>
      <c r="AV61" s="99">
        <v>0</v>
      </c>
      <c r="AW61" s="99">
        <v>0</v>
      </c>
      <c r="AX61" s="99">
        <v>0</v>
      </c>
      <c r="AY61" s="99">
        <v>0</v>
      </c>
      <c r="AZ61" s="99">
        <v>0</v>
      </c>
      <c r="BA61" s="99">
        <v>0</v>
      </c>
      <c r="BB61" s="99">
        <v>3141</v>
      </c>
      <c r="BC61" s="99">
        <v>3558</v>
      </c>
      <c r="BD61" s="99">
        <v>3971</v>
      </c>
      <c r="BE61" s="99">
        <v>2785</v>
      </c>
      <c r="BF61" s="99">
        <v>2728</v>
      </c>
      <c r="BG61" s="99">
        <v>2013</v>
      </c>
      <c r="BH61" s="99">
        <v>2187</v>
      </c>
      <c r="BI61" s="99">
        <v>2176</v>
      </c>
      <c r="BJ61" s="99">
        <v>1967</v>
      </c>
      <c r="BK61" s="99">
        <v>1730</v>
      </c>
      <c r="BL61" s="99">
        <v>2402</v>
      </c>
      <c r="BM61" s="99">
        <v>2128</v>
      </c>
      <c r="BN61" s="99">
        <v>2089</v>
      </c>
      <c r="BO61" s="99">
        <v>2365</v>
      </c>
      <c r="BP61" s="99">
        <v>1660</v>
      </c>
      <c r="BQ61" s="99">
        <v>1271</v>
      </c>
      <c r="BR61" s="99">
        <v>1272</v>
      </c>
      <c r="BS61" s="99">
        <v>1121</v>
      </c>
      <c r="BT61" s="99">
        <v>1200</v>
      </c>
      <c r="BU61" s="99">
        <v>1063</v>
      </c>
      <c r="BV61" s="99">
        <v>929</v>
      </c>
      <c r="BW61" s="99">
        <v>769</v>
      </c>
      <c r="BX61" s="99">
        <v>8</v>
      </c>
      <c r="BY61" s="99">
        <v>0</v>
      </c>
      <c r="BZ61" s="99">
        <v>0</v>
      </c>
      <c r="CA61" s="99">
        <v>0</v>
      </c>
      <c r="CB61" s="99">
        <v>1</v>
      </c>
      <c r="CC61" s="99">
        <v>0</v>
      </c>
      <c r="CD61" s="99">
        <v>0</v>
      </c>
      <c r="CE61" s="99">
        <v>0</v>
      </c>
      <c r="CF61" s="99">
        <v>0</v>
      </c>
      <c r="CG61" s="99">
        <v>0</v>
      </c>
      <c r="CH61" s="99">
        <v>0</v>
      </c>
      <c r="CI61" s="99">
        <v>0</v>
      </c>
      <c r="CJ61" s="99">
        <v>0</v>
      </c>
      <c r="CK61" s="100">
        <v>0</v>
      </c>
    </row>
    <row r="62" spans="1:89">
      <c r="A62" s="78" t="str">
        <f t="shared" si="5"/>
        <v xml:space="preserve"> V3X2</v>
      </c>
      <c r="B62" s="101" t="s">
        <v>215</v>
      </c>
      <c r="C62" s="102" t="s">
        <v>331</v>
      </c>
      <c r="D62" s="103" t="s">
        <v>332</v>
      </c>
      <c r="E62" s="102" t="s">
        <v>333</v>
      </c>
      <c r="F62" s="103">
        <v>145</v>
      </c>
      <c r="G62" s="104">
        <v>2.2286500000000001E-2</v>
      </c>
      <c r="H62" s="104">
        <v>2.3084E-2</v>
      </c>
      <c r="I62" s="104">
        <v>3.1334500000000001E-2</v>
      </c>
      <c r="J62" s="104">
        <v>7.3225E-3</v>
      </c>
      <c r="K62" s="104">
        <v>0</v>
      </c>
      <c r="L62" s="104">
        <v>1.5369999999999999</v>
      </c>
      <c r="M62" s="104">
        <v>1.5920000000000001</v>
      </c>
      <c r="N62" s="104">
        <v>2.161</v>
      </c>
      <c r="O62" s="104">
        <v>0.505</v>
      </c>
      <c r="P62" s="104">
        <v>0</v>
      </c>
      <c r="Q62" s="104"/>
      <c r="R62" s="104">
        <v>20155</v>
      </c>
      <c r="S62" s="104">
        <v>105125</v>
      </c>
      <c r="T62" s="104">
        <v>45965</v>
      </c>
      <c r="U62" s="104">
        <v>56260</v>
      </c>
      <c r="V62" s="104">
        <v>59015</v>
      </c>
      <c r="W62" s="104">
        <v>10585</v>
      </c>
      <c r="X62" s="104">
        <v>0</v>
      </c>
      <c r="Y62" s="104">
        <v>145</v>
      </c>
      <c r="Z62" s="104">
        <v>3190</v>
      </c>
      <c r="AA62" s="104">
        <v>3190</v>
      </c>
      <c r="AB62" s="104">
        <v>4205</v>
      </c>
      <c r="AC62" s="104">
        <v>5510</v>
      </c>
      <c r="AD62" s="104">
        <v>6380</v>
      </c>
      <c r="AE62" s="104">
        <v>6815</v>
      </c>
      <c r="AF62" s="104">
        <v>7250</v>
      </c>
      <c r="AG62" s="104">
        <v>6960</v>
      </c>
      <c r="AH62" s="104">
        <v>9135</v>
      </c>
      <c r="AI62" s="104">
        <v>9135</v>
      </c>
      <c r="AJ62" s="104">
        <v>7685</v>
      </c>
      <c r="AK62" s="104">
        <v>8990</v>
      </c>
      <c r="AL62" s="104">
        <v>10875</v>
      </c>
      <c r="AM62" s="104">
        <v>0</v>
      </c>
      <c r="AN62" s="104">
        <v>0</v>
      </c>
      <c r="AO62" s="104">
        <v>0</v>
      </c>
      <c r="AP62" s="104">
        <v>0</v>
      </c>
      <c r="AQ62" s="104">
        <v>0</v>
      </c>
      <c r="AR62" s="104">
        <v>0</v>
      </c>
      <c r="AS62" s="104">
        <v>0</v>
      </c>
      <c r="AT62" s="104">
        <v>0</v>
      </c>
      <c r="AU62" s="104">
        <v>0</v>
      </c>
      <c r="AV62" s="104">
        <v>0</v>
      </c>
      <c r="AW62" s="104">
        <v>0</v>
      </c>
      <c r="AX62" s="104">
        <v>0</v>
      </c>
      <c r="AY62" s="104">
        <v>0</v>
      </c>
      <c r="AZ62" s="104">
        <v>0</v>
      </c>
      <c r="BA62" s="104">
        <v>0</v>
      </c>
      <c r="BB62" s="104">
        <v>139</v>
      </c>
      <c r="BC62" s="104">
        <v>725</v>
      </c>
      <c r="BD62" s="104">
        <v>317</v>
      </c>
      <c r="BE62" s="104">
        <v>388</v>
      </c>
      <c r="BF62" s="104">
        <v>407</v>
      </c>
      <c r="BG62" s="104">
        <v>73</v>
      </c>
      <c r="BH62" s="104">
        <v>0</v>
      </c>
      <c r="BI62" s="104">
        <v>1</v>
      </c>
      <c r="BJ62" s="104">
        <v>22</v>
      </c>
      <c r="BK62" s="104">
        <v>22</v>
      </c>
      <c r="BL62" s="104">
        <v>29</v>
      </c>
      <c r="BM62" s="104">
        <v>38</v>
      </c>
      <c r="BN62" s="104">
        <v>44</v>
      </c>
      <c r="BO62" s="104">
        <v>47</v>
      </c>
      <c r="BP62" s="104">
        <v>50</v>
      </c>
      <c r="BQ62" s="104">
        <v>48</v>
      </c>
      <c r="BR62" s="104">
        <v>63</v>
      </c>
      <c r="BS62" s="104">
        <v>63</v>
      </c>
      <c r="BT62" s="104">
        <v>53</v>
      </c>
      <c r="BU62" s="104">
        <v>62</v>
      </c>
      <c r="BV62" s="104">
        <v>75</v>
      </c>
      <c r="BW62" s="104">
        <v>0</v>
      </c>
      <c r="BX62" s="104">
        <v>0</v>
      </c>
      <c r="BY62" s="104">
        <v>0</v>
      </c>
      <c r="BZ62" s="104">
        <v>0</v>
      </c>
      <c r="CA62" s="104">
        <v>0</v>
      </c>
      <c r="CB62" s="104">
        <v>0</v>
      </c>
      <c r="CC62" s="104">
        <v>0</v>
      </c>
      <c r="CD62" s="104">
        <v>0</v>
      </c>
      <c r="CE62" s="104">
        <v>0</v>
      </c>
      <c r="CF62" s="104">
        <v>0</v>
      </c>
      <c r="CG62" s="104">
        <v>0</v>
      </c>
      <c r="CH62" s="104">
        <v>0</v>
      </c>
      <c r="CI62" s="104">
        <v>0</v>
      </c>
      <c r="CJ62" s="104">
        <v>0</v>
      </c>
      <c r="CK62" s="105">
        <v>0</v>
      </c>
    </row>
    <row r="63" spans="1:89">
      <c r="A63" s="78" t="str">
        <f t="shared" si="5"/>
        <v xml:space="preserve"> V3X2</v>
      </c>
      <c r="B63" s="96" t="s">
        <v>215</v>
      </c>
      <c r="C63" s="97" t="s">
        <v>334</v>
      </c>
      <c r="D63" s="98" t="s">
        <v>335</v>
      </c>
      <c r="E63" s="97" t="s">
        <v>336</v>
      </c>
      <c r="F63" s="98">
        <v>110.54</v>
      </c>
      <c r="G63" s="99">
        <v>4.5335025000000001E-2</v>
      </c>
      <c r="H63" s="99">
        <v>2.32134E-4</v>
      </c>
      <c r="I63" s="99">
        <v>0</v>
      </c>
      <c r="J63" s="99">
        <v>0</v>
      </c>
      <c r="K63" s="99">
        <v>0</v>
      </c>
      <c r="L63" s="99">
        <v>4.0919999999999996</v>
      </c>
      <c r="M63" s="99">
        <v>2.1000000000000001E-2</v>
      </c>
      <c r="N63" s="99">
        <v>0</v>
      </c>
      <c r="O63" s="99">
        <v>0</v>
      </c>
      <c r="P63" s="99">
        <v>0</v>
      </c>
      <c r="Q63" s="99"/>
      <c r="R63" s="99">
        <v>0</v>
      </c>
      <c r="S63" s="99">
        <v>0</v>
      </c>
      <c r="T63" s="99">
        <v>0</v>
      </c>
      <c r="U63" s="99">
        <v>0</v>
      </c>
      <c r="V63" s="99">
        <v>0</v>
      </c>
      <c r="W63" s="99">
        <v>0</v>
      </c>
      <c r="X63" s="99">
        <v>0</v>
      </c>
      <c r="Y63" s="99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99">
        <v>0</v>
      </c>
      <c r="AG63" s="99">
        <v>0</v>
      </c>
      <c r="AH63" s="99">
        <v>0</v>
      </c>
      <c r="AI63" s="99">
        <v>0</v>
      </c>
      <c r="AJ63" s="99">
        <v>0</v>
      </c>
      <c r="AK63" s="99">
        <v>0</v>
      </c>
      <c r="AL63" s="99">
        <v>0</v>
      </c>
      <c r="AM63" s="99">
        <v>0</v>
      </c>
      <c r="AN63" s="99">
        <v>0</v>
      </c>
      <c r="AO63" s="99">
        <v>0</v>
      </c>
      <c r="AP63" s="99">
        <v>0</v>
      </c>
      <c r="AQ63" s="99">
        <v>0</v>
      </c>
      <c r="AR63" s="99">
        <v>0</v>
      </c>
      <c r="AS63" s="99">
        <v>0</v>
      </c>
      <c r="AT63" s="99">
        <v>0</v>
      </c>
      <c r="AU63" s="99">
        <v>0</v>
      </c>
      <c r="AV63" s="99">
        <v>0</v>
      </c>
      <c r="AW63" s="99">
        <v>0</v>
      </c>
      <c r="AX63" s="99">
        <v>0</v>
      </c>
      <c r="AY63" s="99">
        <v>0</v>
      </c>
      <c r="AZ63" s="99">
        <v>0</v>
      </c>
      <c r="BA63" s="99">
        <v>0</v>
      </c>
      <c r="BB63" s="99">
        <v>0</v>
      </c>
      <c r="BC63" s="99">
        <v>0</v>
      </c>
      <c r="BD63" s="99">
        <v>0</v>
      </c>
      <c r="BE63" s="99">
        <v>0</v>
      </c>
      <c r="BF63" s="99">
        <v>0</v>
      </c>
      <c r="BG63" s="99">
        <v>0</v>
      </c>
      <c r="BH63" s="99">
        <v>0</v>
      </c>
      <c r="BI63" s="99">
        <v>0</v>
      </c>
      <c r="BJ63" s="99">
        <v>0</v>
      </c>
      <c r="BK63" s="99">
        <v>0</v>
      </c>
      <c r="BL63" s="99">
        <v>0</v>
      </c>
      <c r="BM63" s="99">
        <v>0</v>
      </c>
      <c r="BN63" s="99">
        <v>0</v>
      </c>
      <c r="BO63" s="99">
        <v>0</v>
      </c>
      <c r="BP63" s="99">
        <v>0</v>
      </c>
      <c r="BQ63" s="99">
        <v>0</v>
      </c>
      <c r="BR63" s="99">
        <v>0</v>
      </c>
      <c r="BS63" s="99">
        <v>0</v>
      </c>
      <c r="BT63" s="99">
        <v>0</v>
      </c>
      <c r="BU63" s="99">
        <v>0</v>
      </c>
      <c r="BV63" s="99">
        <v>0</v>
      </c>
      <c r="BW63" s="99">
        <v>0</v>
      </c>
      <c r="BX63" s="99">
        <v>0</v>
      </c>
      <c r="BY63" s="99">
        <v>0</v>
      </c>
      <c r="BZ63" s="99">
        <v>0</v>
      </c>
      <c r="CA63" s="99">
        <v>0</v>
      </c>
      <c r="CB63" s="99">
        <v>0</v>
      </c>
      <c r="CC63" s="99">
        <v>0</v>
      </c>
      <c r="CD63" s="99">
        <v>0</v>
      </c>
      <c r="CE63" s="99">
        <v>0</v>
      </c>
      <c r="CF63" s="99">
        <v>0</v>
      </c>
      <c r="CG63" s="99">
        <v>0</v>
      </c>
      <c r="CH63" s="99">
        <v>0</v>
      </c>
      <c r="CI63" s="99">
        <v>0</v>
      </c>
      <c r="CJ63" s="99">
        <v>0</v>
      </c>
      <c r="CK63" s="100">
        <v>0</v>
      </c>
    </row>
    <row r="64" spans="1:89">
      <c r="A64" s="78" t="str">
        <f t="shared" si="5"/>
        <v xml:space="preserve"> V3X2</v>
      </c>
      <c r="B64" s="101" t="s">
        <v>215</v>
      </c>
      <c r="C64" s="102" t="s">
        <v>337</v>
      </c>
      <c r="D64" s="103" t="s">
        <v>338</v>
      </c>
      <c r="E64" s="102" t="s">
        <v>339</v>
      </c>
      <c r="F64" s="103">
        <v>75</v>
      </c>
      <c r="G64" s="104">
        <v>3.5865000000000001E-2</v>
      </c>
      <c r="H64" s="104">
        <v>9.75E-3</v>
      </c>
      <c r="I64" s="104">
        <v>1.242E-2</v>
      </c>
      <c r="J64" s="104">
        <v>6.2250000000000001E-4</v>
      </c>
      <c r="K64" s="104">
        <v>0</v>
      </c>
      <c r="L64" s="104">
        <v>4.782</v>
      </c>
      <c r="M64" s="104">
        <v>1.3</v>
      </c>
      <c r="N64" s="104">
        <v>1.6559999999999999</v>
      </c>
      <c r="O64" s="104">
        <v>8.3000000000000004E-2</v>
      </c>
      <c r="P64" s="104">
        <v>0</v>
      </c>
      <c r="Q64" s="104"/>
      <c r="R64" s="104">
        <v>5175</v>
      </c>
      <c r="S64" s="104">
        <v>25200</v>
      </c>
      <c r="T64" s="104">
        <v>21525</v>
      </c>
      <c r="U64" s="104">
        <v>14850</v>
      </c>
      <c r="V64" s="104">
        <v>15000</v>
      </c>
      <c r="W64" s="104">
        <v>12825</v>
      </c>
      <c r="X64" s="104">
        <v>12750</v>
      </c>
      <c r="Y64" s="104">
        <v>8025</v>
      </c>
      <c r="Z64" s="104">
        <v>7275</v>
      </c>
      <c r="AA64" s="104">
        <v>0</v>
      </c>
      <c r="AB64" s="104">
        <v>0</v>
      </c>
      <c r="AC64" s="104">
        <v>1575</v>
      </c>
      <c r="AD64" s="104">
        <v>0</v>
      </c>
      <c r="AE64" s="104">
        <v>2250</v>
      </c>
      <c r="AF64" s="104">
        <v>1275</v>
      </c>
      <c r="AG64" s="104">
        <v>2700</v>
      </c>
      <c r="AH64" s="104">
        <v>0</v>
      </c>
      <c r="AI64" s="104">
        <v>0</v>
      </c>
      <c r="AJ64" s="104">
        <v>0</v>
      </c>
      <c r="AK64" s="104">
        <v>0</v>
      </c>
      <c r="AL64" s="104">
        <v>0</v>
      </c>
      <c r="AM64" s="104">
        <v>0</v>
      </c>
      <c r="AN64" s="104">
        <v>0</v>
      </c>
      <c r="AO64" s="104">
        <v>0</v>
      </c>
      <c r="AP64" s="104">
        <v>0</v>
      </c>
      <c r="AQ64" s="104">
        <v>0</v>
      </c>
      <c r="AR64" s="104">
        <v>0</v>
      </c>
      <c r="AS64" s="104">
        <v>0</v>
      </c>
      <c r="AT64" s="104">
        <v>0</v>
      </c>
      <c r="AU64" s="104">
        <v>0</v>
      </c>
      <c r="AV64" s="104">
        <v>0</v>
      </c>
      <c r="AW64" s="104">
        <v>0</v>
      </c>
      <c r="AX64" s="104">
        <v>0</v>
      </c>
      <c r="AY64" s="104">
        <v>0</v>
      </c>
      <c r="AZ64" s="104">
        <v>0</v>
      </c>
      <c r="BA64" s="104">
        <v>0</v>
      </c>
      <c r="BB64" s="104">
        <v>69</v>
      </c>
      <c r="BC64" s="104">
        <v>336</v>
      </c>
      <c r="BD64" s="104">
        <v>287</v>
      </c>
      <c r="BE64" s="104">
        <v>198</v>
      </c>
      <c r="BF64" s="104">
        <v>200</v>
      </c>
      <c r="BG64" s="104">
        <v>171</v>
      </c>
      <c r="BH64" s="104">
        <v>170</v>
      </c>
      <c r="BI64" s="104">
        <v>107</v>
      </c>
      <c r="BJ64" s="104">
        <v>97</v>
      </c>
      <c r="BK64" s="104">
        <v>0</v>
      </c>
      <c r="BL64" s="104">
        <v>0</v>
      </c>
      <c r="BM64" s="104">
        <v>21</v>
      </c>
      <c r="BN64" s="104">
        <v>0</v>
      </c>
      <c r="BO64" s="104">
        <v>30</v>
      </c>
      <c r="BP64" s="104">
        <v>17</v>
      </c>
      <c r="BQ64" s="104">
        <v>36</v>
      </c>
      <c r="BR64" s="104">
        <v>0</v>
      </c>
      <c r="BS64" s="104">
        <v>0</v>
      </c>
      <c r="BT64" s="104">
        <v>0</v>
      </c>
      <c r="BU64" s="104">
        <v>0</v>
      </c>
      <c r="BV64" s="104">
        <v>0</v>
      </c>
      <c r="BW64" s="104">
        <v>0</v>
      </c>
      <c r="BX64" s="104">
        <v>0</v>
      </c>
      <c r="BY64" s="104">
        <v>0</v>
      </c>
      <c r="BZ64" s="104">
        <v>0</v>
      </c>
      <c r="CA64" s="104">
        <v>0</v>
      </c>
      <c r="CB64" s="104">
        <v>0</v>
      </c>
      <c r="CC64" s="104">
        <v>0</v>
      </c>
      <c r="CD64" s="104">
        <v>0</v>
      </c>
      <c r="CE64" s="104">
        <v>0</v>
      </c>
      <c r="CF64" s="104">
        <v>0</v>
      </c>
      <c r="CG64" s="104">
        <v>0</v>
      </c>
      <c r="CH64" s="104">
        <v>0</v>
      </c>
      <c r="CI64" s="104">
        <v>0</v>
      </c>
      <c r="CJ64" s="104">
        <v>0</v>
      </c>
      <c r="CK64" s="105">
        <v>0</v>
      </c>
    </row>
    <row r="65" spans="1:89">
      <c r="A65" s="78" t="str">
        <f t="shared" si="5"/>
        <v xml:space="preserve"> V3X2</v>
      </c>
      <c r="B65" s="96" t="s">
        <v>215</v>
      </c>
      <c r="C65" s="97" t="str">
        <f>C64</f>
        <v>ATTOM</v>
      </c>
      <c r="D65" s="98" t="str">
        <f>D64</f>
        <v>SYNCOM FORMULATIONS (I) LIMITED</v>
      </c>
      <c r="E65" s="97" t="s">
        <v>340</v>
      </c>
      <c r="F65" s="98">
        <v>268.39999999999998</v>
      </c>
      <c r="G65" s="99">
        <v>1.178276E-2</v>
      </c>
      <c r="H65" s="99">
        <v>9.68924E-3</v>
      </c>
      <c r="I65" s="99">
        <v>7.7567599999999997E-3</v>
      </c>
      <c r="J65" s="99">
        <v>1.0736000000000001E-3</v>
      </c>
      <c r="K65" s="99">
        <v>0</v>
      </c>
      <c r="L65" s="99">
        <v>0.439</v>
      </c>
      <c r="M65" s="99">
        <v>0.36099999999999999</v>
      </c>
      <c r="N65" s="99">
        <v>0.28899999999999998</v>
      </c>
      <c r="O65" s="99">
        <v>0.04</v>
      </c>
      <c r="P65" s="99">
        <v>0</v>
      </c>
      <c r="Q65" s="99"/>
      <c r="R65" s="99">
        <v>37576</v>
      </c>
      <c r="S65" s="99">
        <v>37576</v>
      </c>
      <c r="T65" s="99">
        <v>0</v>
      </c>
      <c r="U65" s="99">
        <v>0</v>
      </c>
      <c r="V65" s="99">
        <v>0</v>
      </c>
      <c r="W65" s="99">
        <v>268.39999999999998</v>
      </c>
      <c r="X65" s="99">
        <v>0</v>
      </c>
      <c r="Y65" s="99">
        <v>268.39999999999998</v>
      </c>
      <c r="Z65" s="99">
        <v>1878.8</v>
      </c>
      <c r="AA65" s="99">
        <v>0</v>
      </c>
      <c r="AB65" s="99">
        <v>0</v>
      </c>
      <c r="AC65" s="99">
        <v>0</v>
      </c>
      <c r="AD65" s="99">
        <v>536.79999999999995</v>
      </c>
      <c r="AE65" s="99">
        <v>4294.3999999999996</v>
      </c>
      <c r="AF65" s="99">
        <v>4294.3999999999996</v>
      </c>
      <c r="AG65" s="99">
        <v>0</v>
      </c>
      <c r="AH65" s="99">
        <v>0</v>
      </c>
      <c r="AI65" s="99">
        <v>0</v>
      </c>
      <c r="AJ65" s="99">
        <v>0</v>
      </c>
      <c r="AK65" s="99">
        <v>1610.4</v>
      </c>
      <c r="AL65" s="99">
        <v>0</v>
      </c>
      <c r="AM65" s="99">
        <v>0</v>
      </c>
      <c r="AN65" s="99">
        <v>0</v>
      </c>
      <c r="AO65" s="99">
        <v>0</v>
      </c>
      <c r="AP65" s="99">
        <v>0</v>
      </c>
      <c r="AQ65" s="99">
        <v>0</v>
      </c>
      <c r="AR65" s="99">
        <v>0</v>
      </c>
      <c r="AS65" s="99">
        <v>0</v>
      </c>
      <c r="AT65" s="99">
        <v>0</v>
      </c>
      <c r="AU65" s="99">
        <v>0</v>
      </c>
      <c r="AV65" s="99">
        <v>0</v>
      </c>
      <c r="AW65" s="99">
        <v>0</v>
      </c>
      <c r="AX65" s="99">
        <v>0</v>
      </c>
      <c r="AY65" s="99">
        <v>0</v>
      </c>
      <c r="AZ65" s="99">
        <v>0</v>
      </c>
      <c r="BA65" s="99">
        <v>0</v>
      </c>
      <c r="BB65" s="99">
        <v>140</v>
      </c>
      <c r="BC65" s="99">
        <v>140</v>
      </c>
      <c r="BD65" s="99">
        <v>0</v>
      </c>
      <c r="BE65" s="99">
        <v>0</v>
      </c>
      <c r="BF65" s="99">
        <v>0</v>
      </c>
      <c r="BG65" s="99">
        <v>1</v>
      </c>
      <c r="BH65" s="99">
        <v>0</v>
      </c>
      <c r="BI65" s="99">
        <v>1</v>
      </c>
      <c r="BJ65" s="99">
        <v>7</v>
      </c>
      <c r="BK65" s="99">
        <v>0</v>
      </c>
      <c r="BL65" s="99">
        <v>0</v>
      </c>
      <c r="BM65" s="99">
        <v>0</v>
      </c>
      <c r="BN65" s="99">
        <v>2</v>
      </c>
      <c r="BO65" s="99">
        <v>16</v>
      </c>
      <c r="BP65" s="99">
        <v>16</v>
      </c>
      <c r="BQ65" s="99">
        <v>0</v>
      </c>
      <c r="BR65" s="99">
        <v>0</v>
      </c>
      <c r="BS65" s="99">
        <v>0</v>
      </c>
      <c r="BT65" s="99">
        <v>0</v>
      </c>
      <c r="BU65" s="99">
        <v>6</v>
      </c>
      <c r="BV65" s="99">
        <v>0</v>
      </c>
      <c r="BW65" s="99">
        <v>0</v>
      </c>
      <c r="BX65" s="99">
        <v>0</v>
      </c>
      <c r="BY65" s="99">
        <v>0</v>
      </c>
      <c r="BZ65" s="99">
        <v>0</v>
      </c>
      <c r="CA65" s="99">
        <v>0</v>
      </c>
      <c r="CB65" s="99">
        <v>0</v>
      </c>
      <c r="CC65" s="99">
        <v>0</v>
      </c>
      <c r="CD65" s="99">
        <v>0</v>
      </c>
      <c r="CE65" s="99">
        <v>0</v>
      </c>
      <c r="CF65" s="99">
        <v>0</v>
      </c>
      <c r="CG65" s="99">
        <v>0</v>
      </c>
      <c r="CH65" s="99">
        <v>0</v>
      </c>
      <c r="CI65" s="99">
        <v>0</v>
      </c>
      <c r="CJ65" s="99">
        <v>0</v>
      </c>
      <c r="CK65" s="100">
        <v>0</v>
      </c>
    </row>
    <row r="66" spans="1:89">
      <c r="A66" s="78" t="str">
        <f t="shared" si="5"/>
        <v xml:space="preserve"> V3X2</v>
      </c>
      <c r="B66" s="101" t="s">
        <v>215</v>
      </c>
      <c r="C66" s="102" t="s">
        <v>341</v>
      </c>
      <c r="D66" s="103" t="s">
        <v>241</v>
      </c>
      <c r="E66" s="102" t="s">
        <v>342</v>
      </c>
      <c r="F66" s="103">
        <v>201.92</v>
      </c>
      <c r="G66" s="104">
        <v>0.17274255999999999</v>
      </c>
      <c r="H66" s="104">
        <v>0</v>
      </c>
      <c r="I66" s="104">
        <v>0</v>
      </c>
      <c r="J66" s="104">
        <v>0</v>
      </c>
      <c r="K66" s="104">
        <v>0</v>
      </c>
      <c r="L66" s="104">
        <v>8.5549999999999997</v>
      </c>
      <c r="M66" s="104">
        <v>0</v>
      </c>
      <c r="N66" s="104">
        <v>0</v>
      </c>
      <c r="O66" s="104">
        <v>0</v>
      </c>
      <c r="P66" s="104">
        <v>0</v>
      </c>
      <c r="Q66" s="104"/>
      <c r="R66" s="104">
        <v>0</v>
      </c>
      <c r="S66" s="104">
        <v>0</v>
      </c>
      <c r="T66" s="104">
        <v>0</v>
      </c>
      <c r="U66" s="104">
        <v>0</v>
      </c>
      <c r="V66" s="104">
        <v>0</v>
      </c>
      <c r="W66" s="104">
        <v>0</v>
      </c>
      <c r="X66" s="104">
        <v>0</v>
      </c>
      <c r="Y66" s="104">
        <v>0</v>
      </c>
      <c r="Z66" s="104">
        <v>0</v>
      </c>
      <c r="AA66" s="104">
        <v>0</v>
      </c>
      <c r="AB66" s="104">
        <v>0</v>
      </c>
      <c r="AC66" s="104">
        <v>0</v>
      </c>
      <c r="AD66" s="104">
        <v>0</v>
      </c>
      <c r="AE66" s="104">
        <v>0</v>
      </c>
      <c r="AF66" s="104">
        <v>0</v>
      </c>
      <c r="AG66" s="104">
        <v>0</v>
      </c>
      <c r="AH66" s="104">
        <v>0</v>
      </c>
      <c r="AI66" s="104">
        <v>0</v>
      </c>
      <c r="AJ66" s="104">
        <v>0</v>
      </c>
      <c r="AK66" s="104">
        <v>0</v>
      </c>
      <c r="AL66" s="104">
        <v>0</v>
      </c>
      <c r="AM66" s="104">
        <v>0</v>
      </c>
      <c r="AN66" s="104">
        <v>0</v>
      </c>
      <c r="AO66" s="104">
        <v>0</v>
      </c>
      <c r="AP66" s="104">
        <v>0</v>
      </c>
      <c r="AQ66" s="104">
        <v>0</v>
      </c>
      <c r="AR66" s="104">
        <v>0</v>
      </c>
      <c r="AS66" s="104">
        <v>0</v>
      </c>
      <c r="AT66" s="104">
        <v>0</v>
      </c>
      <c r="AU66" s="104">
        <v>0</v>
      </c>
      <c r="AV66" s="104">
        <v>0</v>
      </c>
      <c r="AW66" s="104">
        <v>0</v>
      </c>
      <c r="AX66" s="104">
        <v>0</v>
      </c>
      <c r="AY66" s="104">
        <v>0</v>
      </c>
      <c r="AZ66" s="104">
        <v>0</v>
      </c>
      <c r="BA66" s="104">
        <v>0</v>
      </c>
      <c r="BB66" s="104">
        <v>0</v>
      </c>
      <c r="BC66" s="104">
        <v>0</v>
      </c>
      <c r="BD66" s="104">
        <v>0</v>
      </c>
      <c r="BE66" s="104">
        <v>0</v>
      </c>
      <c r="BF66" s="104">
        <v>0</v>
      </c>
      <c r="BG66" s="104">
        <v>0</v>
      </c>
      <c r="BH66" s="104">
        <v>0</v>
      </c>
      <c r="BI66" s="104">
        <v>0</v>
      </c>
      <c r="BJ66" s="104">
        <v>0</v>
      </c>
      <c r="BK66" s="104">
        <v>0</v>
      </c>
      <c r="BL66" s="104">
        <v>0</v>
      </c>
      <c r="BM66" s="104">
        <v>0</v>
      </c>
      <c r="BN66" s="104">
        <v>0</v>
      </c>
      <c r="BO66" s="104">
        <v>0</v>
      </c>
      <c r="BP66" s="104">
        <v>0</v>
      </c>
      <c r="BQ66" s="104">
        <v>0</v>
      </c>
      <c r="BR66" s="104">
        <v>0</v>
      </c>
      <c r="BS66" s="104">
        <v>0</v>
      </c>
      <c r="BT66" s="104">
        <v>0</v>
      </c>
      <c r="BU66" s="104">
        <v>0</v>
      </c>
      <c r="BV66" s="104">
        <v>0</v>
      </c>
      <c r="BW66" s="104">
        <v>0</v>
      </c>
      <c r="BX66" s="104">
        <v>0</v>
      </c>
      <c r="BY66" s="104">
        <v>0</v>
      </c>
      <c r="BZ66" s="104">
        <v>0</v>
      </c>
      <c r="CA66" s="104">
        <v>0</v>
      </c>
      <c r="CB66" s="104">
        <v>0</v>
      </c>
      <c r="CC66" s="104">
        <v>0</v>
      </c>
      <c r="CD66" s="104">
        <v>0</v>
      </c>
      <c r="CE66" s="104">
        <v>0</v>
      </c>
      <c r="CF66" s="104">
        <v>0</v>
      </c>
      <c r="CG66" s="104">
        <v>0</v>
      </c>
      <c r="CH66" s="104">
        <v>0</v>
      </c>
      <c r="CI66" s="104">
        <v>0</v>
      </c>
      <c r="CJ66" s="104">
        <v>0</v>
      </c>
      <c r="CK66" s="105">
        <v>0</v>
      </c>
    </row>
    <row r="67" spans="1:89">
      <c r="A67" s="78" t="str">
        <f t="shared" si="5"/>
        <v/>
      </c>
    </row>
    <row r="68" spans="1:89">
      <c r="A68" s="78" t="str">
        <f t="shared" si="5"/>
        <v/>
      </c>
    </row>
    <row r="69" spans="1:89">
      <c r="A69" s="78" t="str">
        <f t="shared" si="5"/>
        <v/>
      </c>
    </row>
    <row r="70" spans="1:89">
      <c r="A70" s="78" t="str">
        <f t="shared" si="5"/>
        <v/>
      </c>
    </row>
    <row r="71" spans="1:89">
      <c r="A71" s="78" t="str">
        <f t="shared" si="5"/>
        <v/>
      </c>
    </row>
    <row r="72" spans="1:89">
      <c r="A72" s="78" t="str">
        <f t="shared" si="5"/>
        <v/>
      </c>
    </row>
    <row r="73" spans="1:89">
      <c r="A73" s="78" t="str">
        <f t="shared" si="5"/>
        <v/>
      </c>
    </row>
    <row r="74" spans="1:89">
      <c r="A74" s="78" t="str">
        <f t="shared" ref="A74:A137" si="7">RIGHT(B74,5)</f>
        <v/>
      </c>
    </row>
    <row r="75" spans="1:89">
      <c r="A75" s="78" t="str">
        <f t="shared" si="7"/>
        <v/>
      </c>
    </row>
    <row r="76" spans="1:89">
      <c r="A76" s="78" t="str">
        <f t="shared" si="7"/>
        <v/>
      </c>
    </row>
    <row r="77" spans="1:89">
      <c r="A77" s="78" t="str">
        <f t="shared" si="7"/>
        <v/>
      </c>
    </row>
    <row r="78" spans="1:89">
      <c r="A78" s="78" t="str">
        <f t="shared" si="7"/>
        <v/>
      </c>
    </row>
    <row r="79" spans="1:89">
      <c r="A79" s="78" t="str">
        <f t="shared" si="7"/>
        <v/>
      </c>
    </row>
    <row r="80" spans="1:89">
      <c r="A80" s="78" t="str">
        <f t="shared" si="7"/>
        <v/>
      </c>
    </row>
    <row r="81" spans="1:1">
      <c r="A81" s="78" t="str">
        <f t="shared" si="7"/>
        <v/>
      </c>
    </row>
    <row r="82" spans="1:1">
      <c r="A82" s="78" t="str">
        <f t="shared" si="7"/>
        <v/>
      </c>
    </row>
    <row r="83" spans="1:1">
      <c r="A83" s="78" t="str">
        <f t="shared" si="7"/>
        <v/>
      </c>
    </row>
    <row r="84" spans="1:1">
      <c r="A84" s="78" t="str">
        <f t="shared" si="7"/>
        <v/>
      </c>
    </row>
    <row r="85" spans="1:1">
      <c r="A85" s="78" t="str">
        <f t="shared" si="7"/>
        <v/>
      </c>
    </row>
    <row r="86" spans="1:1">
      <c r="A86" s="78" t="str">
        <f t="shared" si="7"/>
        <v/>
      </c>
    </row>
    <row r="87" spans="1:1">
      <c r="A87" s="78" t="str">
        <f t="shared" si="7"/>
        <v/>
      </c>
    </row>
    <row r="88" spans="1:1">
      <c r="A88" s="78" t="str">
        <f t="shared" si="7"/>
        <v/>
      </c>
    </row>
    <row r="89" spans="1:1">
      <c r="A89" s="78" t="str">
        <f t="shared" si="7"/>
        <v/>
      </c>
    </row>
    <row r="90" spans="1:1">
      <c r="A90" s="78" t="str">
        <f t="shared" si="7"/>
        <v/>
      </c>
    </row>
    <row r="91" spans="1:1">
      <c r="A91" s="78" t="str">
        <f t="shared" si="7"/>
        <v/>
      </c>
    </row>
    <row r="92" spans="1:1">
      <c r="A92" s="78" t="str">
        <f t="shared" si="7"/>
        <v/>
      </c>
    </row>
    <row r="93" spans="1:1">
      <c r="A93" s="78" t="str">
        <f t="shared" si="7"/>
        <v/>
      </c>
    </row>
    <row r="94" spans="1:1">
      <c r="A94" s="78" t="str">
        <f t="shared" si="7"/>
        <v/>
      </c>
    </row>
    <row r="95" spans="1:1">
      <c r="A95" s="78" t="str">
        <f t="shared" si="7"/>
        <v/>
      </c>
    </row>
    <row r="96" spans="1:1">
      <c r="A96" s="78" t="str">
        <f t="shared" si="7"/>
        <v/>
      </c>
    </row>
    <row r="97" spans="1:1">
      <c r="A97" s="78" t="str">
        <f t="shared" si="7"/>
        <v/>
      </c>
    </row>
    <row r="98" spans="1:1">
      <c r="A98" s="78" t="str">
        <f t="shared" si="7"/>
        <v/>
      </c>
    </row>
    <row r="99" spans="1:1">
      <c r="A99" s="78" t="str">
        <f t="shared" si="7"/>
        <v/>
      </c>
    </row>
    <row r="100" spans="1:1">
      <c r="A100" s="78" t="str">
        <f t="shared" si="7"/>
        <v/>
      </c>
    </row>
    <row r="101" spans="1:1">
      <c r="A101" s="78" t="str">
        <f t="shared" si="7"/>
        <v/>
      </c>
    </row>
    <row r="102" spans="1:1">
      <c r="A102" s="78" t="str">
        <f t="shared" si="7"/>
        <v/>
      </c>
    </row>
    <row r="103" spans="1:1">
      <c r="A103" s="78" t="str">
        <f t="shared" si="7"/>
        <v/>
      </c>
    </row>
    <row r="104" spans="1:1">
      <c r="A104" s="78" t="str">
        <f t="shared" si="7"/>
        <v/>
      </c>
    </row>
    <row r="105" spans="1:1">
      <c r="A105" s="78" t="str">
        <f t="shared" si="7"/>
        <v/>
      </c>
    </row>
    <row r="106" spans="1:1">
      <c r="A106" s="78" t="str">
        <f t="shared" si="7"/>
        <v/>
      </c>
    </row>
    <row r="107" spans="1:1">
      <c r="A107" s="78" t="str">
        <f t="shared" si="7"/>
        <v/>
      </c>
    </row>
    <row r="108" spans="1:1">
      <c r="A108" s="78" t="str">
        <f t="shared" si="7"/>
        <v/>
      </c>
    </row>
    <row r="109" spans="1:1">
      <c r="A109" s="78" t="str">
        <f t="shared" si="7"/>
        <v/>
      </c>
    </row>
    <row r="110" spans="1:1">
      <c r="A110" s="78" t="str">
        <f t="shared" si="7"/>
        <v/>
      </c>
    </row>
    <row r="111" spans="1:1">
      <c r="A111" s="78" t="str">
        <f t="shared" si="7"/>
        <v/>
      </c>
    </row>
    <row r="112" spans="1:1">
      <c r="A112" s="78" t="str">
        <f t="shared" si="7"/>
        <v/>
      </c>
    </row>
    <row r="113" spans="1:1">
      <c r="A113" s="78" t="str">
        <f t="shared" si="7"/>
        <v/>
      </c>
    </row>
    <row r="114" spans="1:1">
      <c r="A114" s="78" t="str">
        <f t="shared" si="7"/>
        <v/>
      </c>
    </row>
    <row r="115" spans="1:1">
      <c r="A115" s="78" t="str">
        <f t="shared" si="7"/>
        <v/>
      </c>
    </row>
    <row r="116" spans="1:1">
      <c r="A116" s="78" t="str">
        <f t="shared" si="7"/>
        <v/>
      </c>
    </row>
    <row r="117" spans="1:1">
      <c r="A117" s="78" t="str">
        <f t="shared" si="7"/>
        <v/>
      </c>
    </row>
    <row r="118" spans="1:1">
      <c r="A118" s="78" t="str">
        <f t="shared" si="7"/>
        <v/>
      </c>
    </row>
    <row r="119" spans="1:1">
      <c r="A119" s="78" t="str">
        <f t="shared" si="7"/>
        <v/>
      </c>
    </row>
    <row r="120" spans="1:1">
      <c r="A120" s="78" t="str">
        <f t="shared" si="7"/>
        <v/>
      </c>
    </row>
    <row r="121" spans="1:1">
      <c r="A121" s="78" t="str">
        <f t="shared" si="7"/>
        <v/>
      </c>
    </row>
    <row r="122" spans="1:1">
      <c r="A122" s="78" t="str">
        <f t="shared" si="7"/>
        <v/>
      </c>
    </row>
    <row r="123" spans="1:1">
      <c r="A123" s="78" t="str">
        <f t="shared" si="7"/>
        <v/>
      </c>
    </row>
    <row r="124" spans="1:1">
      <c r="A124" s="78" t="str">
        <f t="shared" si="7"/>
        <v/>
      </c>
    </row>
    <row r="125" spans="1:1">
      <c r="A125" s="78" t="str">
        <f t="shared" si="7"/>
        <v/>
      </c>
    </row>
    <row r="126" spans="1:1">
      <c r="A126" s="78" t="str">
        <f t="shared" si="7"/>
        <v/>
      </c>
    </row>
    <row r="127" spans="1:1">
      <c r="A127" s="78" t="str">
        <f t="shared" si="7"/>
        <v/>
      </c>
    </row>
    <row r="128" spans="1:1">
      <c r="A128" s="78" t="str">
        <f t="shared" si="7"/>
        <v/>
      </c>
    </row>
    <row r="129" spans="1:1">
      <c r="A129" s="78" t="str">
        <f t="shared" si="7"/>
        <v/>
      </c>
    </row>
    <row r="130" spans="1:1">
      <c r="A130" s="78" t="str">
        <f t="shared" si="7"/>
        <v/>
      </c>
    </row>
    <row r="131" spans="1:1">
      <c r="A131" s="78" t="str">
        <f t="shared" si="7"/>
        <v/>
      </c>
    </row>
    <row r="132" spans="1:1">
      <c r="A132" s="78" t="str">
        <f t="shared" si="7"/>
        <v/>
      </c>
    </row>
    <row r="133" spans="1:1">
      <c r="A133" s="78" t="str">
        <f t="shared" si="7"/>
        <v/>
      </c>
    </row>
    <row r="134" spans="1:1">
      <c r="A134" s="78" t="str">
        <f t="shared" si="7"/>
        <v/>
      </c>
    </row>
    <row r="135" spans="1:1">
      <c r="A135" s="78" t="str">
        <f t="shared" si="7"/>
        <v/>
      </c>
    </row>
    <row r="136" spans="1:1">
      <c r="A136" s="78" t="str">
        <f t="shared" si="7"/>
        <v/>
      </c>
    </row>
    <row r="137" spans="1:1">
      <c r="A137" s="78" t="str">
        <f t="shared" si="7"/>
        <v/>
      </c>
    </row>
    <row r="138" spans="1:1">
      <c r="A138" s="78" t="str">
        <f t="shared" ref="A138:A201" si="8">RIGHT(B138,5)</f>
        <v/>
      </c>
    </row>
    <row r="139" spans="1:1">
      <c r="A139" s="78" t="str">
        <f t="shared" si="8"/>
        <v/>
      </c>
    </row>
    <row r="140" spans="1:1">
      <c r="A140" s="78" t="str">
        <f t="shared" si="8"/>
        <v/>
      </c>
    </row>
    <row r="141" spans="1:1">
      <c r="A141" s="78" t="str">
        <f t="shared" si="8"/>
        <v/>
      </c>
    </row>
    <row r="142" spans="1:1">
      <c r="A142" s="78" t="str">
        <f t="shared" si="8"/>
        <v/>
      </c>
    </row>
    <row r="143" spans="1:1">
      <c r="A143" s="78" t="str">
        <f t="shared" si="8"/>
        <v/>
      </c>
    </row>
    <row r="144" spans="1:1">
      <c r="A144" s="78" t="str">
        <f t="shared" si="8"/>
        <v/>
      </c>
    </row>
    <row r="145" spans="1:1">
      <c r="A145" s="78" t="str">
        <f t="shared" si="8"/>
        <v/>
      </c>
    </row>
    <row r="146" spans="1:1">
      <c r="A146" s="78" t="str">
        <f t="shared" si="8"/>
        <v/>
      </c>
    </row>
    <row r="147" spans="1:1">
      <c r="A147" s="78" t="str">
        <f t="shared" si="8"/>
        <v/>
      </c>
    </row>
    <row r="148" spans="1:1">
      <c r="A148" s="78" t="str">
        <f t="shared" si="8"/>
        <v/>
      </c>
    </row>
    <row r="149" spans="1:1">
      <c r="A149" s="78" t="str">
        <f t="shared" si="8"/>
        <v/>
      </c>
    </row>
    <row r="150" spans="1:1">
      <c r="A150" s="78" t="str">
        <f t="shared" si="8"/>
        <v/>
      </c>
    </row>
    <row r="151" spans="1:1">
      <c r="A151" s="78" t="str">
        <f t="shared" si="8"/>
        <v/>
      </c>
    </row>
    <row r="152" spans="1:1">
      <c r="A152" s="78" t="str">
        <f t="shared" si="8"/>
        <v/>
      </c>
    </row>
    <row r="153" spans="1:1">
      <c r="A153" s="78" t="str">
        <f t="shared" si="8"/>
        <v/>
      </c>
    </row>
    <row r="154" spans="1:1">
      <c r="A154" s="78" t="str">
        <f t="shared" si="8"/>
        <v/>
      </c>
    </row>
    <row r="155" spans="1:1">
      <c r="A155" s="78" t="str">
        <f t="shared" si="8"/>
        <v/>
      </c>
    </row>
    <row r="156" spans="1:1">
      <c r="A156" s="78" t="str">
        <f t="shared" si="8"/>
        <v/>
      </c>
    </row>
    <row r="157" spans="1:1">
      <c r="A157" s="78" t="str">
        <f t="shared" si="8"/>
        <v/>
      </c>
    </row>
    <row r="158" spans="1:1">
      <c r="A158" s="78" t="str">
        <f t="shared" si="8"/>
        <v/>
      </c>
    </row>
    <row r="159" spans="1:1">
      <c r="A159" s="78" t="str">
        <f t="shared" si="8"/>
        <v/>
      </c>
    </row>
    <row r="160" spans="1:1">
      <c r="A160" s="78" t="str">
        <f t="shared" si="8"/>
        <v/>
      </c>
    </row>
    <row r="161" spans="1:1">
      <c r="A161" s="78" t="str">
        <f t="shared" si="8"/>
        <v/>
      </c>
    </row>
    <row r="162" spans="1:1">
      <c r="A162" s="78" t="str">
        <f t="shared" si="8"/>
        <v/>
      </c>
    </row>
    <row r="163" spans="1:1">
      <c r="A163" s="78" t="str">
        <f t="shared" si="8"/>
        <v/>
      </c>
    </row>
    <row r="164" spans="1:1">
      <c r="A164" s="78" t="str">
        <f t="shared" si="8"/>
        <v/>
      </c>
    </row>
    <row r="165" spans="1:1">
      <c r="A165" s="78" t="str">
        <f t="shared" si="8"/>
        <v/>
      </c>
    </row>
    <row r="166" spans="1:1">
      <c r="A166" s="78" t="str">
        <f t="shared" si="8"/>
        <v/>
      </c>
    </row>
    <row r="167" spans="1:1">
      <c r="A167" s="78" t="str">
        <f t="shared" si="8"/>
        <v/>
      </c>
    </row>
    <row r="168" spans="1:1">
      <c r="A168" s="78" t="str">
        <f t="shared" si="8"/>
        <v/>
      </c>
    </row>
    <row r="169" spans="1:1">
      <c r="A169" s="78" t="str">
        <f t="shared" si="8"/>
        <v/>
      </c>
    </row>
    <row r="170" spans="1:1">
      <c r="A170" s="78" t="str">
        <f t="shared" si="8"/>
        <v/>
      </c>
    </row>
    <row r="171" spans="1:1">
      <c r="A171" s="78" t="str">
        <f t="shared" si="8"/>
        <v/>
      </c>
    </row>
    <row r="172" spans="1:1">
      <c r="A172" s="78" t="str">
        <f t="shared" si="8"/>
        <v/>
      </c>
    </row>
    <row r="173" spans="1:1">
      <c r="A173" s="78" t="str">
        <f t="shared" si="8"/>
        <v/>
      </c>
    </row>
    <row r="174" spans="1:1">
      <c r="A174" s="78" t="str">
        <f t="shared" si="8"/>
        <v/>
      </c>
    </row>
    <row r="175" spans="1:1">
      <c r="A175" s="78" t="str">
        <f t="shared" si="8"/>
        <v/>
      </c>
    </row>
    <row r="176" spans="1:1">
      <c r="A176" s="78" t="str">
        <f t="shared" si="8"/>
        <v/>
      </c>
    </row>
    <row r="177" spans="1:1">
      <c r="A177" s="78" t="str">
        <f t="shared" si="8"/>
        <v/>
      </c>
    </row>
    <row r="178" spans="1:1">
      <c r="A178" s="78" t="str">
        <f t="shared" si="8"/>
        <v/>
      </c>
    </row>
    <row r="179" spans="1:1">
      <c r="A179" s="78" t="str">
        <f t="shared" si="8"/>
        <v/>
      </c>
    </row>
    <row r="180" spans="1:1">
      <c r="A180" s="78" t="str">
        <f t="shared" si="8"/>
        <v/>
      </c>
    </row>
    <row r="181" spans="1:1">
      <c r="A181" s="78" t="str">
        <f t="shared" si="8"/>
        <v/>
      </c>
    </row>
    <row r="182" spans="1:1">
      <c r="A182" s="78" t="str">
        <f t="shared" si="8"/>
        <v/>
      </c>
    </row>
    <row r="183" spans="1:1">
      <c r="A183" s="78" t="str">
        <f t="shared" si="8"/>
        <v/>
      </c>
    </row>
    <row r="184" spans="1:1">
      <c r="A184" s="78" t="str">
        <f t="shared" si="8"/>
        <v/>
      </c>
    </row>
    <row r="185" spans="1:1">
      <c r="A185" s="78" t="str">
        <f t="shared" si="8"/>
        <v/>
      </c>
    </row>
    <row r="186" spans="1:1">
      <c r="A186" s="78" t="str">
        <f t="shared" si="8"/>
        <v/>
      </c>
    </row>
    <row r="187" spans="1:1">
      <c r="A187" s="78" t="str">
        <f t="shared" si="8"/>
        <v/>
      </c>
    </row>
    <row r="188" spans="1:1">
      <c r="A188" s="78" t="str">
        <f t="shared" si="8"/>
        <v/>
      </c>
    </row>
    <row r="189" spans="1:1">
      <c r="A189" s="78" t="str">
        <f t="shared" si="8"/>
        <v/>
      </c>
    </row>
    <row r="190" spans="1:1">
      <c r="A190" s="78" t="str">
        <f t="shared" si="8"/>
        <v/>
      </c>
    </row>
    <row r="191" spans="1:1">
      <c r="A191" s="78" t="str">
        <f t="shared" si="8"/>
        <v/>
      </c>
    </row>
    <row r="192" spans="1:1">
      <c r="A192" s="78" t="str">
        <f t="shared" si="8"/>
        <v/>
      </c>
    </row>
    <row r="193" spans="1:1">
      <c r="A193" s="78" t="str">
        <f t="shared" si="8"/>
        <v/>
      </c>
    </row>
    <row r="194" spans="1:1">
      <c r="A194" s="78" t="str">
        <f t="shared" si="8"/>
        <v/>
      </c>
    </row>
    <row r="195" spans="1:1">
      <c r="A195" s="78" t="str">
        <f t="shared" si="8"/>
        <v/>
      </c>
    </row>
    <row r="196" spans="1:1">
      <c r="A196" s="78" t="str">
        <f t="shared" si="8"/>
        <v/>
      </c>
    </row>
    <row r="197" spans="1:1">
      <c r="A197" s="78" t="str">
        <f t="shared" si="8"/>
        <v/>
      </c>
    </row>
    <row r="198" spans="1:1">
      <c r="A198" s="78" t="str">
        <f t="shared" si="8"/>
        <v/>
      </c>
    </row>
    <row r="199" spans="1:1">
      <c r="A199" s="78" t="str">
        <f t="shared" si="8"/>
        <v/>
      </c>
    </row>
    <row r="200" spans="1:1">
      <c r="A200" s="78" t="str">
        <f t="shared" si="8"/>
        <v/>
      </c>
    </row>
    <row r="201" spans="1:1">
      <c r="A201" s="78" t="str">
        <f t="shared" si="8"/>
        <v/>
      </c>
    </row>
    <row r="202" spans="1:1">
      <c r="A202" s="78" t="str">
        <f t="shared" ref="A202:A265" si="9">RIGHT(B202,5)</f>
        <v/>
      </c>
    </row>
    <row r="203" spans="1:1">
      <c r="A203" s="78" t="str">
        <f t="shared" si="9"/>
        <v/>
      </c>
    </row>
    <row r="204" spans="1:1">
      <c r="A204" s="78" t="str">
        <f t="shared" si="9"/>
        <v/>
      </c>
    </row>
    <row r="205" spans="1:1">
      <c r="A205" s="78" t="str">
        <f t="shared" si="9"/>
        <v/>
      </c>
    </row>
    <row r="206" spans="1:1">
      <c r="A206" s="78" t="str">
        <f t="shared" si="9"/>
        <v/>
      </c>
    </row>
    <row r="207" spans="1:1">
      <c r="A207" s="78" t="str">
        <f t="shared" si="9"/>
        <v/>
      </c>
    </row>
    <row r="208" spans="1:1">
      <c r="A208" s="78" t="str">
        <f t="shared" si="9"/>
        <v/>
      </c>
    </row>
    <row r="209" spans="1:1">
      <c r="A209" s="78" t="str">
        <f t="shared" si="9"/>
        <v/>
      </c>
    </row>
    <row r="210" spans="1:1">
      <c r="A210" s="78" t="str">
        <f t="shared" si="9"/>
        <v/>
      </c>
    </row>
    <row r="211" spans="1:1">
      <c r="A211" s="78" t="str">
        <f t="shared" si="9"/>
        <v/>
      </c>
    </row>
    <row r="212" spans="1:1">
      <c r="A212" s="78" t="str">
        <f t="shared" si="9"/>
        <v/>
      </c>
    </row>
    <row r="213" spans="1:1">
      <c r="A213" s="78" t="str">
        <f t="shared" si="9"/>
        <v/>
      </c>
    </row>
    <row r="214" spans="1:1">
      <c r="A214" s="78" t="str">
        <f t="shared" si="9"/>
        <v/>
      </c>
    </row>
    <row r="215" spans="1:1">
      <c r="A215" s="78" t="str">
        <f t="shared" si="9"/>
        <v/>
      </c>
    </row>
    <row r="216" spans="1:1">
      <c r="A216" s="78" t="str">
        <f t="shared" si="9"/>
        <v/>
      </c>
    </row>
    <row r="217" spans="1:1">
      <c r="A217" s="78" t="str">
        <f t="shared" si="9"/>
        <v/>
      </c>
    </row>
    <row r="218" spans="1:1">
      <c r="A218" s="78" t="str">
        <f t="shared" si="9"/>
        <v/>
      </c>
    </row>
    <row r="219" spans="1:1">
      <c r="A219" s="78" t="str">
        <f t="shared" si="9"/>
        <v/>
      </c>
    </row>
    <row r="220" spans="1:1">
      <c r="A220" s="78" t="str">
        <f t="shared" si="9"/>
        <v/>
      </c>
    </row>
    <row r="221" spans="1:1">
      <c r="A221" s="78" t="str">
        <f t="shared" si="9"/>
        <v/>
      </c>
    </row>
    <row r="222" spans="1:1">
      <c r="A222" s="78" t="str">
        <f t="shared" si="9"/>
        <v/>
      </c>
    </row>
    <row r="223" spans="1:1">
      <c r="A223" s="78" t="str">
        <f t="shared" si="9"/>
        <v/>
      </c>
    </row>
    <row r="224" spans="1:1">
      <c r="A224" s="78" t="str">
        <f t="shared" si="9"/>
        <v/>
      </c>
    </row>
    <row r="225" spans="1:1">
      <c r="A225" s="78" t="str">
        <f t="shared" si="9"/>
        <v/>
      </c>
    </row>
    <row r="226" spans="1:1">
      <c r="A226" s="78" t="str">
        <f t="shared" si="9"/>
        <v/>
      </c>
    </row>
    <row r="227" spans="1:1">
      <c r="A227" s="78" t="str">
        <f t="shared" si="9"/>
        <v/>
      </c>
    </row>
    <row r="228" spans="1:1">
      <c r="A228" s="78" t="str">
        <f t="shared" si="9"/>
        <v/>
      </c>
    </row>
    <row r="229" spans="1:1">
      <c r="A229" s="78" t="str">
        <f t="shared" si="9"/>
        <v/>
      </c>
    </row>
    <row r="230" spans="1:1">
      <c r="A230" s="78" t="str">
        <f t="shared" si="9"/>
        <v/>
      </c>
    </row>
    <row r="231" spans="1:1">
      <c r="A231" s="78" t="str">
        <f t="shared" si="9"/>
        <v/>
      </c>
    </row>
    <row r="232" spans="1:1">
      <c r="A232" s="78" t="str">
        <f t="shared" si="9"/>
        <v/>
      </c>
    </row>
    <row r="233" spans="1:1">
      <c r="A233" s="78" t="str">
        <f t="shared" si="9"/>
        <v/>
      </c>
    </row>
    <row r="234" spans="1:1">
      <c r="A234" s="78" t="str">
        <f t="shared" si="9"/>
        <v/>
      </c>
    </row>
    <row r="235" spans="1:1">
      <c r="A235" s="78" t="str">
        <f t="shared" si="9"/>
        <v/>
      </c>
    </row>
    <row r="236" spans="1:1">
      <c r="A236" s="78" t="str">
        <f t="shared" si="9"/>
        <v/>
      </c>
    </row>
    <row r="237" spans="1:1">
      <c r="A237" s="78" t="str">
        <f t="shared" si="9"/>
        <v/>
      </c>
    </row>
    <row r="238" spans="1:1">
      <c r="A238" s="78" t="str">
        <f t="shared" si="9"/>
        <v/>
      </c>
    </row>
    <row r="239" spans="1:1">
      <c r="A239" s="78" t="str">
        <f t="shared" si="9"/>
        <v/>
      </c>
    </row>
    <row r="240" spans="1:1">
      <c r="A240" s="78" t="str">
        <f t="shared" si="9"/>
        <v/>
      </c>
    </row>
    <row r="241" spans="1:1">
      <c r="A241" s="78" t="str">
        <f t="shared" si="9"/>
        <v/>
      </c>
    </row>
    <row r="242" spans="1:1">
      <c r="A242" s="78" t="str">
        <f t="shared" si="9"/>
        <v/>
      </c>
    </row>
    <row r="243" spans="1:1">
      <c r="A243" s="78" t="str">
        <f t="shared" si="9"/>
        <v/>
      </c>
    </row>
    <row r="244" spans="1:1">
      <c r="A244" s="78" t="str">
        <f t="shared" si="9"/>
        <v/>
      </c>
    </row>
    <row r="245" spans="1:1">
      <c r="A245" s="78" t="str">
        <f t="shared" si="9"/>
        <v/>
      </c>
    </row>
    <row r="246" spans="1:1">
      <c r="A246" s="78" t="str">
        <f t="shared" si="9"/>
        <v/>
      </c>
    </row>
    <row r="247" spans="1:1">
      <c r="A247" s="78" t="str">
        <f t="shared" si="9"/>
        <v/>
      </c>
    </row>
    <row r="248" spans="1:1">
      <c r="A248" s="78" t="str">
        <f t="shared" si="9"/>
        <v/>
      </c>
    </row>
    <row r="249" spans="1:1">
      <c r="A249" s="78" t="str">
        <f t="shared" si="9"/>
        <v/>
      </c>
    </row>
    <row r="250" spans="1:1">
      <c r="A250" s="78" t="str">
        <f t="shared" si="9"/>
        <v/>
      </c>
    </row>
    <row r="251" spans="1:1">
      <c r="A251" s="78" t="str">
        <f t="shared" si="9"/>
        <v/>
      </c>
    </row>
    <row r="252" spans="1:1">
      <c r="A252" s="78" t="str">
        <f t="shared" si="9"/>
        <v/>
      </c>
    </row>
    <row r="253" spans="1:1">
      <c r="A253" s="78" t="str">
        <f t="shared" si="9"/>
        <v/>
      </c>
    </row>
    <row r="254" spans="1:1">
      <c r="A254" s="78" t="str">
        <f t="shared" si="9"/>
        <v/>
      </c>
    </row>
    <row r="255" spans="1:1">
      <c r="A255" s="78" t="str">
        <f t="shared" si="9"/>
        <v/>
      </c>
    </row>
    <row r="256" spans="1:1">
      <c r="A256" s="78" t="str">
        <f t="shared" si="9"/>
        <v/>
      </c>
    </row>
    <row r="257" spans="1:1">
      <c r="A257" s="78" t="str">
        <f t="shared" si="9"/>
        <v/>
      </c>
    </row>
    <row r="258" spans="1:1">
      <c r="A258" s="78" t="str">
        <f t="shared" si="9"/>
        <v/>
      </c>
    </row>
    <row r="259" spans="1:1">
      <c r="A259" s="78" t="str">
        <f t="shared" si="9"/>
        <v/>
      </c>
    </row>
    <row r="260" spans="1:1">
      <c r="A260" s="78" t="str">
        <f t="shared" si="9"/>
        <v/>
      </c>
    </row>
    <row r="261" spans="1:1">
      <c r="A261" s="78" t="str">
        <f t="shared" si="9"/>
        <v/>
      </c>
    </row>
    <row r="262" spans="1:1">
      <c r="A262" s="78" t="str">
        <f t="shared" si="9"/>
        <v/>
      </c>
    </row>
    <row r="263" spans="1:1">
      <c r="A263" s="78" t="str">
        <f t="shared" si="9"/>
        <v/>
      </c>
    </row>
    <row r="264" spans="1:1">
      <c r="A264" s="78" t="str">
        <f t="shared" si="9"/>
        <v/>
      </c>
    </row>
    <row r="265" spans="1:1">
      <c r="A265" s="78" t="str">
        <f t="shared" si="9"/>
        <v/>
      </c>
    </row>
    <row r="266" spans="1:1">
      <c r="A266" s="78" t="str">
        <f t="shared" ref="A266:A329" si="10">RIGHT(B266,5)</f>
        <v/>
      </c>
    </row>
    <row r="267" spans="1:1">
      <c r="A267" s="78" t="str">
        <f t="shared" si="10"/>
        <v/>
      </c>
    </row>
    <row r="268" spans="1:1">
      <c r="A268" s="78" t="str">
        <f t="shared" si="10"/>
        <v/>
      </c>
    </row>
    <row r="269" spans="1:1">
      <c r="A269" s="78" t="str">
        <f t="shared" si="10"/>
        <v/>
      </c>
    </row>
    <row r="270" spans="1:1">
      <c r="A270" s="78" t="str">
        <f t="shared" si="10"/>
        <v/>
      </c>
    </row>
    <row r="271" spans="1:1">
      <c r="A271" s="78" t="str">
        <f t="shared" si="10"/>
        <v/>
      </c>
    </row>
    <row r="272" spans="1:1">
      <c r="A272" s="78" t="str">
        <f t="shared" si="10"/>
        <v/>
      </c>
    </row>
    <row r="273" spans="1:1">
      <c r="A273" s="78" t="str">
        <f t="shared" si="10"/>
        <v/>
      </c>
    </row>
    <row r="274" spans="1:1">
      <c r="A274" s="78" t="str">
        <f t="shared" si="10"/>
        <v/>
      </c>
    </row>
    <row r="275" spans="1:1">
      <c r="A275" s="78" t="str">
        <f t="shared" si="10"/>
        <v/>
      </c>
    </row>
    <row r="276" spans="1:1">
      <c r="A276" s="78" t="str">
        <f t="shared" si="10"/>
        <v/>
      </c>
    </row>
    <row r="277" spans="1:1">
      <c r="A277" s="78" t="str">
        <f t="shared" si="10"/>
        <v/>
      </c>
    </row>
    <row r="278" spans="1:1">
      <c r="A278" s="78" t="str">
        <f t="shared" si="10"/>
        <v/>
      </c>
    </row>
    <row r="279" spans="1:1">
      <c r="A279" s="78" t="str">
        <f t="shared" si="10"/>
        <v/>
      </c>
    </row>
    <row r="280" spans="1:1">
      <c r="A280" s="78" t="str">
        <f t="shared" si="10"/>
        <v/>
      </c>
    </row>
    <row r="281" spans="1:1">
      <c r="A281" s="78" t="str">
        <f t="shared" si="10"/>
        <v/>
      </c>
    </row>
    <row r="282" spans="1:1">
      <c r="A282" s="78" t="str">
        <f t="shared" si="10"/>
        <v/>
      </c>
    </row>
    <row r="283" spans="1:1">
      <c r="A283" s="78" t="str">
        <f t="shared" si="10"/>
        <v/>
      </c>
    </row>
    <row r="284" spans="1:1">
      <c r="A284" s="78" t="str">
        <f t="shared" si="10"/>
        <v/>
      </c>
    </row>
    <row r="285" spans="1:1">
      <c r="A285" s="78" t="str">
        <f t="shared" si="10"/>
        <v/>
      </c>
    </row>
    <row r="286" spans="1:1">
      <c r="A286" s="78" t="str">
        <f t="shared" si="10"/>
        <v/>
      </c>
    </row>
    <row r="287" spans="1:1">
      <c r="A287" s="78" t="str">
        <f t="shared" si="10"/>
        <v/>
      </c>
    </row>
    <row r="288" spans="1:1">
      <c r="A288" s="78" t="str">
        <f t="shared" si="10"/>
        <v/>
      </c>
    </row>
    <row r="289" spans="1:1">
      <c r="A289" s="78" t="str">
        <f t="shared" si="10"/>
        <v/>
      </c>
    </row>
    <row r="290" spans="1:1">
      <c r="A290" s="78" t="str">
        <f t="shared" si="10"/>
        <v/>
      </c>
    </row>
    <row r="291" spans="1:1">
      <c r="A291" s="78" t="str">
        <f t="shared" si="10"/>
        <v/>
      </c>
    </row>
    <row r="292" spans="1:1">
      <c r="A292" s="78" t="str">
        <f t="shared" si="10"/>
        <v/>
      </c>
    </row>
    <row r="293" spans="1:1">
      <c r="A293" s="78" t="str">
        <f t="shared" si="10"/>
        <v/>
      </c>
    </row>
    <row r="294" spans="1:1">
      <c r="A294" s="78" t="str">
        <f t="shared" si="10"/>
        <v/>
      </c>
    </row>
    <row r="295" spans="1:1">
      <c r="A295" s="78" t="str">
        <f t="shared" si="10"/>
        <v/>
      </c>
    </row>
    <row r="296" spans="1:1">
      <c r="A296" s="78" t="str">
        <f t="shared" si="10"/>
        <v/>
      </c>
    </row>
    <row r="297" spans="1:1">
      <c r="A297" s="78" t="str">
        <f t="shared" si="10"/>
        <v/>
      </c>
    </row>
    <row r="298" spans="1:1">
      <c r="A298" s="78" t="str">
        <f t="shared" si="10"/>
        <v/>
      </c>
    </row>
    <row r="299" spans="1:1">
      <c r="A299" s="78" t="str">
        <f t="shared" si="10"/>
        <v/>
      </c>
    </row>
    <row r="300" spans="1:1">
      <c r="A300" s="78" t="str">
        <f t="shared" si="10"/>
        <v/>
      </c>
    </row>
    <row r="301" spans="1:1">
      <c r="A301" s="78" t="str">
        <f t="shared" si="10"/>
        <v/>
      </c>
    </row>
    <row r="302" spans="1:1">
      <c r="A302" s="78" t="str">
        <f t="shared" si="10"/>
        <v/>
      </c>
    </row>
    <row r="303" spans="1:1">
      <c r="A303" s="78" t="str">
        <f t="shared" si="10"/>
        <v/>
      </c>
    </row>
    <row r="304" spans="1:1">
      <c r="A304" s="78" t="str">
        <f t="shared" si="10"/>
        <v/>
      </c>
    </row>
    <row r="305" spans="1:1">
      <c r="A305" s="78" t="str">
        <f t="shared" si="10"/>
        <v/>
      </c>
    </row>
    <row r="306" spans="1:1">
      <c r="A306" s="78" t="str">
        <f t="shared" si="10"/>
        <v/>
      </c>
    </row>
    <row r="307" spans="1:1">
      <c r="A307" s="78" t="str">
        <f t="shared" si="10"/>
        <v/>
      </c>
    </row>
    <row r="308" spans="1:1">
      <c r="A308" s="78" t="str">
        <f t="shared" si="10"/>
        <v/>
      </c>
    </row>
    <row r="309" spans="1:1">
      <c r="A309" s="78" t="str">
        <f t="shared" si="10"/>
        <v/>
      </c>
    </row>
    <row r="310" spans="1:1">
      <c r="A310" s="78" t="str">
        <f t="shared" si="10"/>
        <v/>
      </c>
    </row>
    <row r="311" spans="1:1">
      <c r="A311" s="78" t="str">
        <f t="shared" si="10"/>
        <v/>
      </c>
    </row>
    <row r="312" spans="1:1">
      <c r="A312" s="78" t="str">
        <f t="shared" si="10"/>
        <v/>
      </c>
    </row>
    <row r="313" spans="1:1">
      <c r="A313" s="78" t="str">
        <f t="shared" si="10"/>
        <v/>
      </c>
    </row>
    <row r="314" spans="1:1">
      <c r="A314" s="78" t="str">
        <f t="shared" si="10"/>
        <v/>
      </c>
    </row>
    <row r="315" spans="1:1">
      <c r="A315" s="78" t="str">
        <f t="shared" si="10"/>
        <v/>
      </c>
    </row>
    <row r="316" spans="1:1">
      <c r="A316" s="78" t="str">
        <f t="shared" si="10"/>
        <v/>
      </c>
    </row>
    <row r="317" spans="1:1">
      <c r="A317" s="78" t="str">
        <f t="shared" si="10"/>
        <v/>
      </c>
    </row>
    <row r="318" spans="1:1">
      <c r="A318" s="78" t="str">
        <f t="shared" si="10"/>
        <v/>
      </c>
    </row>
    <row r="319" spans="1:1">
      <c r="A319" s="78" t="str">
        <f t="shared" si="10"/>
        <v/>
      </c>
    </row>
    <row r="320" spans="1:1">
      <c r="A320" s="78" t="str">
        <f t="shared" si="10"/>
        <v/>
      </c>
    </row>
    <row r="321" spans="1:1">
      <c r="A321" s="78" t="str">
        <f t="shared" si="10"/>
        <v/>
      </c>
    </row>
    <row r="322" spans="1:1">
      <c r="A322" s="78" t="str">
        <f t="shared" si="10"/>
        <v/>
      </c>
    </row>
    <row r="323" spans="1:1">
      <c r="A323" s="78" t="str">
        <f t="shared" si="10"/>
        <v/>
      </c>
    </row>
    <row r="324" spans="1:1">
      <c r="A324" s="78" t="str">
        <f t="shared" si="10"/>
        <v/>
      </c>
    </row>
    <row r="325" spans="1:1">
      <c r="A325" s="78" t="str">
        <f t="shared" si="10"/>
        <v/>
      </c>
    </row>
    <row r="326" spans="1:1">
      <c r="A326" s="78" t="str">
        <f t="shared" si="10"/>
        <v/>
      </c>
    </row>
    <row r="327" spans="1:1">
      <c r="A327" s="78" t="str">
        <f t="shared" si="10"/>
        <v/>
      </c>
    </row>
    <row r="328" spans="1:1">
      <c r="A328" s="78" t="str">
        <f t="shared" si="10"/>
        <v/>
      </c>
    </row>
    <row r="329" spans="1:1">
      <c r="A329" s="78" t="str">
        <f t="shared" si="10"/>
        <v/>
      </c>
    </row>
    <row r="330" spans="1:1">
      <c r="A330" s="78" t="str">
        <f t="shared" ref="A330:A393" si="11">RIGHT(B330,5)</f>
        <v/>
      </c>
    </row>
    <row r="331" spans="1:1">
      <c r="A331" s="78" t="str">
        <f t="shared" si="11"/>
        <v/>
      </c>
    </row>
    <row r="332" spans="1:1">
      <c r="A332" s="78" t="str">
        <f t="shared" si="11"/>
        <v/>
      </c>
    </row>
    <row r="333" spans="1:1">
      <c r="A333" s="78" t="str">
        <f t="shared" si="11"/>
        <v/>
      </c>
    </row>
    <row r="334" spans="1:1">
      <c r="A334" s="78" t="str">
        <f t="shared" si="11"/>
        <v/>
      </c>
    </row>
    <row r="335" spans="1:1">
      <c r="A335" s="78" t="str">
        <f t="shared" si="11"/>
        <v/>
      </c>
    </row>
    <row r="336" spans="1:1">
      <c r="A336" s="78" t="str">
        <f t="shared" si="11"/>
        <v/>
      </c>
    </row>
    <row r="337" spans="1:1">
      <c r="A337" s="78" t="str">
        <f t="shared" si="11"/>
        <v/>
      </c>
    </row>
    <row r="338" spans="1:1">
      <c r="A338" s="78" t="str">
        <f t="shared" si="11"/>
        <v/>
      </c>
    </row>
    <row r="339" spans="1:1">
      <c r="A339" s="78" t="str">
        <f t="shared" si="11"/>
        <v/>
      </c>
    </row>
    <row r="340" spans="1:1">
      <c r="A340" s="78" t="str">
        <f t="shared" si="11"/>
        <v/>
      </c>
    </row>
    <row r="341" spans="1:1">
      <c r="A341" s="78" t="str">
        <f t="shared" si="11"/>
        <v/>
      </c>
    </row>
    <row r="342" spans="1:1">
      <c r="A342" s="78" t="str">
        <f t="shared" si="11"/>
        <v/>
      </c>
    </row>
    <row r="343" spans="1:1">
      <c r="A343" s="78" t="str">
        <f t="shared" si="11"/>
        <v/>
      </c>
    </row>
    <row r="344" spans="1:1">
      <c r="A344" s="78" t="str">
        <f t="shared" si="11"/>
        <v/>
      </c>
    </row>
    <row r="345" spans="1:1">
      <c r="A345" s="78" t="str">
        <f t="shared" si="11"/>
        <v/>
      </c>
    </row>
    <row r="346" spans="1:1">
      <c r="A346" s="78" t="str">
        <f t="shared" si="11"/>
        <v/>
      </c>
    </row>
    <row r="347" spans="1:1">
      <c r="A347" s="78" t="str">
        <f t="shared" si="11"/>
        <v/>
      </c>
    </row>
    <row r="348" spans="1:1">
      <c r="A348" s="78" t="str">
        <f t="shared" si="11"/>
        <v/>
      </c>
    </row>
    <row r="349" spans="1:1">
      <c r="A349" s="78" t="str">
        <f t="shared" si="11"/>
        <v/>
      </c>
    </row>
    <row r="350" spans="1:1">
      <c r="A350" s="78" t="str">
        <f t="shared" si="11"/>
        <v/>
      </c>
    </row>
    <row r="351" spans="1:1">
      <c r="A351" s="78" t="str">
        <f t="shared" si="11"/>
        <v/>
      </c>
    </row>
    <row r="352" spans="1:1">
      <c r="A352" s="78" t="str">
        <f t="shared" si="11"/>
        <v/>
      </c>
    </row>
    <row r="353" spans="1:1">
      <c r="A353" s="78" t="str">
        <f t="shared" si="11"/>
        <v/>
      </c>
    </row>
    <row r="354" spans="1:1">
      <c r="A354" s="78" t="str">
        <f t="shared" si="11"/>
        <v/>
      </c>
    </row>
    <row r="355" spans="1:1">
      <c r="A355" s="78" t="str">
        <f t="shared" si="11"/>
        <v/>
      </c>
    </row>
    <row r="356" spans="1:1">
      <c r="A356" s="78" t="str">
        <f t="shared" si="11"/>
        <v/>
      </c>
    </row>
    <row r="357" spans="1:1">
      <c r="A357" s="78" t="str">
        <f t="shared" si="11"/>
        <v/>
      </c>
    </row>
    <row r="358" spans="1:1">
      <c r="A358" s="78" t="str">
        <f t="shared" si="11"/>
        <v/>
      </c>
    </row>
    <row r="359" spans="1:1">
      <c r="A359" s="78" t="str">
        <f t="shared" si="11"/>
        <v/>
      </c>
    </row>
    <row r="360" spans="1:1">
      <c r="A360" s="78" t="str">
        <f t="shared" si="11"/>
        <v/>
      </c>
    </row>
    <row r="361" spans="1:1">
      <c r="A361" s="78" t="str">
        <f t="shared" si="11"/>
        <v/>
      </c>
    </row>
    <row r="362" spans="1:1">
      <c r="A362" s="78" t="str">
        <f t="shared" si="11"/>
        <v/>
      </c>
    </row>
    <row r="363" spans="1:1">
      <c r="A363" s="78" t="str">
        <f t="shared" si="11"/>
        <v/>
      </c>
    </row>
    <row r="364" spans="1:1">
      <c r="A364" s="78" t="str">
        <f t="shared" si="11"/>
        <v/>
      </c>
    </row>
    <row r="365" spans="1:1">
      <c r="A365" s="78" t="str">
        <f t="shared" si="11"/>
        <v/>
      </c>
    </row>
    <row r="366" spans="1:1">
      <c r="A366" s="78" t="str">
        <f t="shared" si="11"/>
        <v/>
      </c>
    </row>
    <row r="367" spans="1:1">
      <c r="A367" s="78" t="str">
        <f t="shared" si="11"/>
        <v/>
      </c>
    </row>
    <row r="368" spans="1:1">
      <c r="A368" s="78" t="str">
        <f t="shared" si="11"/>
        <v/>
      </c>
    </row>
    <row r="369" spans="1:1">
      <c r="A369" s="78" t="str">
        <f t="shared" si="11"/>
        <v/>
      </c>
    </row>
    <row r="370" spans="1:1">
      <c r="A370" s="78" t="str">
        <f t="shared" si="11"/>
        <v/>
      </c>
    </row>
    <row r="371" spans="1:1">
      <c r="A371" s="78" t="str">
        <f t="shared" si="11"/>
        <v/>
      </c>
    </row>
    <row r="372" spans="1:1">
      <c r="A372" s="78" t="str">
        <f t="shared" si="11"/>
        <v/>
      </c>
    </row>
    <row r="373" spans="1:1">
      <c r="A373" s="78" t="str">
        <f t="shared" si="11"/>
        <v/>
      </c>
    </row>
    <row r="374" spans="1:1">
      <c r="A374" s="78" t="str">
        <f t="shared" si="11"/>
        <v/>
      </c>
    </row>
    <row r="375" spans="1:1">
      <c r="A375" s="78" t="str">
        <f t="shared" si="11"/>
        <v/>
      </c>
    </row>
    <row r="376" spans="1:1">
      <c r="A376" s="78" t="str">
        <f t="shared" si="11"/>
        <v/>
      </c>
    </row>
    <row r="377" spans="1:1">
      <c r="A377" s="78" t="str">
        <f t="shared" si="11"/>
        <v/>
      </c>
    </row>
    <row r="378" spans="1:1">
      <c r="A378" s="78" t="str">
        <f t="shared" si="11"/>
        <v/>
      </c>
    </row>
    <row r="379" spans="1:1">
      <c r="A379" s="78" t="str">
        <f t="shared" si="11"/>
        <v/>
      </c>
    </row>
    <row r="380" spans="1:1">
      <c r="A380" s="78" t="str">
        <f t="shared" si="11"/>
        <v/>
      </c>
    </row>
    <row r="381" spans="1:1">
      <c r="A381" s="78" t="str">
        <f t="shared" si="11"/>
        <v/>
      </c>
    </row>
    <row r="382" spans="1:1">
      <c r="A382" s="78" t="str">
        <f t="shared" si="11"/>
        <v/>
      </c>
    </row>
    <row r="383" spans="1:1">
      <c r="A383" s="78" t="str">
        <f t="shared" si="11"/>
        <v/>
      </c>
    </row>
    <row r="384" spans="1:1">
      <c r="A384" s="78" t="str">
        <f t="shared" si="11"/>
        <v/>
      </c>
    </row>
    <row r="385" spans="1:1">
      <c r="A385" s="78" t="str">
        <f t="shared" si="11"/>
        <v/>
      </c>
    </row>
    <row r="386" spans="1:1">
      <c r="A386" s="78" t="str">
        <f t="shared" si="11"/>
        <v/>
      </c>
    </row>
    <row r="387" spans="1:1">
      <c r="A387" s="78" t="str">
        <f t="shared" si="11"/>
        <v/>
      </c>
    </row>
    <row r="388" spans="1:1">
      <c r="A388" s="78" t="str">
        <f t="shared" si="11"/>
        <v/>
      </c>
    </row>
    <row r="389" spans="1:1">
      <c r="A389" s="78" t="str">
        <f t="shared" si="11"/>
        <v/>
      </c>
    </row>
    <row r="390" spans="1:1">
      <c r="A390" s="78" t="str">
        <f t="shared" si="11"/>
        <v/>
      </c>
    </row>
    <row r="391" spans="1:1">
      <c r="A391" s="78" t="str">
        <f t="shared" si="11"/>
        <v/>
      </c>
    </row>
    <row r="392" spans="1:1">
      <c r="A392" s="78" t="str">
        <f t="shared" si="11"/>
        <v/>
      </c>
    </row>
    <row r="393" spans="1:1">
      <c r="A393" s="78" t="str">
        <f t="shared" si="11"/>
        <v/>
      </c>
    </row>
    <row r="394" spans="1:1">
      <c r="A394" s="78" t="str">
        <f t="shared" ref="A394:A457" si="12">RIGHT(B394,5)</f>
        <v/>
      </c>
    </row>
    <row r="395" spans="1:1">
      <c r="A395" s="78" t="str">
        <f t="shared" si="12"/>
        <v/>
      </c>
    </row>
    <row r="396" spans="1:1">
      <c r="A396" s="78" t="str">
        <f t="shared" si="12"/>
        <v/>
      </c>
    </row>
    <row r="397" spans="1:1">
      <c r="A397" s="78" t="str">
        <f t="shared" si="12"/>
        <v/>
      </c>
    </row>
    <row r="398" spans="1:1">
      <c r="A398" s="78" t="str">
        <f t="shared" si="12"/>
        <v/>
      </c>
    </row>
    <row r="399" spans="1:1">
      <c r="A399" s="78" t="str">
        <f t="shared" si="12"/>
        <v/>
      </c>
    </row>
    <row r="400" spans="1:1">
      <c r="A400" s="78" t="str">
        <f t="shared" si="12"/>
        <v/>
      </c>
    </row>
    <row r="401" spans="1:1">
      <c r="A401" s="78" t="str">
        <f t="shared" si="12"/>
        <v/>
      </c>
    </row>
    <row r="402" spans="1:1">
      <c r="A402" s="78" t="str">
        <f t="shared" si="12"/>
        <v/>
      </c>
    </row>
    <row r="403" spans="1:1">
      <c r="A403" s="78" t="str">
        <f t="shared" si="12"/>
        <v/>
      </c>
    </row>
    <row r="404" spans="1:1">
      <c r="A404" s="78" t="str">
        <f t="shared" si="12"/>
        <v/>
      </c>
    </row>
    <row r="405" spans="1:1">
      <c r="A405" s="78" t="str">
        <f t="shared" si="12"/>
        <v/>
      </c>
    </row>
    <row r="406" spans="1:1">
      <c r="A406" s="78" t="str">
        <f t="shared" si="12"/>
        <v/>
      </c>
    </row>
    <row r="407" spans="1:1">
      <c r="A407" s="78" t="str">
        <f t="shared" si="12"/>
        <v/>
      </c>
    </row>
    <row r="408" spans="1:1">
      <c r="A408" s="78" t="str">
        <f t="shared" si="12"/>
        <v/>
      </c>
    </row>
    <row r="409" spans="1:1">
      <c r="A409" s="78" t="str">
        <f t="shared" si="12"/>
        <v/>
      </c>
    </row>
    <row r="410" spans="1:1">
      <c r="A410" s="78" t="str">
        <f t="shared" si="12"/>
        <v/>
      </c>
    </row>
    <row r="411" spans="1:1">
      <c r="A411" s="78" t="str">
        <f t="shared" si="12"/>
        <v/>
      </c>
    </row>
    <row r="412" spans="1:1">
      <c r="A412" s="78" t="str">
        <f t="shared" si="12"/>
        <v/>
      </c>
    </row>
    <row r="413" spans="1:1">
      <c r="A413" s="78" t="str">
        <f t="shared" si="12"/>
        <v/>
      </c>
    </row>
    <row r="414" spans="1:1">
      <c r="A414" s="78" t="str">
        <f t="shared" si="12"/>
        <v/>
      </c>
    </row>
    <row r="415" spans="1:1">
      <c r="A415" s="78" t="str">
        <f t="shared" si="12"/>
        <v/>
      </c>
    </row>
    <row r="416" spans="1:1">
      <c r="A416" s="78" t="str">
        <f t="shared" si="12"/>
        <v/>
      </c>
    </row>
    <row r="417" spans="1:1">
      <c r="A417" s="78" t="str">
        <f t="shared" si="12"/>
        <v/>
      </c>
    </row>
    <row r="418" spans="1:1">
      <c r="A418" s="78" t="str">
        <f t="shared" si="12"/>
        <v/>
      </c>
    </row>
    <row r="419" spans="1:1">
      <c r="A419" s="78" t="str">
        <f t="shared" si="12"/>
        <v/>
      </c>
    </row>
    <row r="420" spans="1:1">
      <c r="A420" s="78" t="str">
        <f t="shared" si="12"/>
        <v/>
      </c>
    </row>
    <row r="421" spans="1:1">
      <c r="A421" s="78" t="str">
        <f t="shared" si="12"/>
        <v/>
      </c>
    </row>
    <row r="422" spans="1:1">
      <c r="A422" s="78" t="str">
        <f t="shared" si="12"/>
        <v/>
      </c>
    </row>
    <row r="423" spans="1:1">
      <c r="A423" s="78" t="str">
        <f t="shared" si="12"/>
        <v/>
      </c>
    </row>
    <row r="424" spans="1:1">
      <c r="A424" s="78" t="str">
        <f t="shared" si="12"/>
        <v/>
      </c>
    </row>
    <row r="425" spans="1:1">
      <c r="A425" s="78" t="str">
        <f t="shared" si="12"/>
        <v/>
      </c>
    </row>
    <row r="426" spans="1:1">
      <c r="A426" s="78" t="str">
        <f t="shared" si="12"/>
        <v/>
      </c>
    </row>
    <row r="427" spans="1:1">
      <c r="A427" s="78" t="str">
        <f t="shared" si="12"/>
        <v/>
      </c>
    </row>
    <row r="428" spans="1:1">
      <c r="A428" s="78" t="str">
        <f t="shared" si="12"/>
        <v/>
      </c>
    </row>
    <row r="429" spans="1:1">
      <c r="A429" s="78" t="str">
        <f t="shared" si="12"/>
        <v/>
      </c>
    </row>
    <row r="430" spans="1:1">
      <c r="A430" s="78" t="str">
        <f t="shared" si="12"/>
        <v/>
      </c>
    </row>
    <row r="431" spans="1:1">
      <c r="A431" s="78" t="str">
        <f t="shared" si="12"/>
        <v/>
      </c>
    </row>
    <row r="432" spans="1:1">
      <c r="A432" s="78" t="str">
        <f t="shared" si="12"/>
        <v/>
      </c>
    </row>
    <row r="433" spans="1:1">
      <c r="A433" s="78" t="str">
        <f t="shared" si="12"/>
        <v/>
      </c>
    </row>
    <row r="434" spans="1:1">
      <c r="A434" s="78" t="str">
        <f t="shared" si="12"/>
        <v/>
      </c>
    </row>
    <row r="435" spans="1:1">
      <c r="A435" s="78" t="str">
        <f t="shared" si="12"/>
        <v/>
      </c>
    </row>
    <row r="436" spans="1:1">
      <c r="A436" s="78" t="str">
        <f t="shared" si="12"/>
        <v/>
      </c>
    </row>
    <row r="437" spans="1:1">
      <c r="A437" s="78" t="str">
        <f t="shared" si="12"/>
        <v/>
      </c>
    </row>
    <row r="438" spans="1:1">
      <c r="A438" s="78" t="str">
        <f t="shared" si="12"/>
        <v/>
      </c>
    </row>
    <row r="439" spans="1:1">
      <c r="A439" s="78" t="str">
        <f t="shared" si="12"/>
        <v/>
      </c>
    </row>
    <row r="440" spans="1:1">
      <c r="A440" s="78" t="str">
        <f t="shared" si="12"/>
        <v/>
      </c>
    </row>
    <row r="441" spans="1:1">
      <c r="A441" s="78" t="str">
        <f t="shared" si="12"/>
        <v/>
      </c>
    </row>
    <row r="442" spans="1:1">
      <c r="A442" s="78" t="str">
        <f t="shared" si="12"/>
        <v/>
      </c>
    </row>
    <row r="443" spans="1:1">
      <c r="A443" s="78" t="str">
        <f t="shared" si="12"/>
        <v/>
      </c>
    </row>
    <row r="444" spans="1:1">
      <c r="A444" s="78" t="str">
        <f t="shared" si="12"/>
        <v/>
      </c>
    </row>
    <row r="445" spans="1:1">
      <c r="A445" s="78" t="str">
        <f t="shared" si="12"/>
        <v/>
      </c>
    </row>
    <row r="446" spans="1:1">
      <c r="A446" s="78" t="str">
        <f t="shared" si="12"/>
        <v/>
      </c>
    </row>
    <row r="447" spans="1:1">
      <c r="A447" s="78" t="str">
        <f t="shared" si="12"/>
        <v/>
      </c>
    </row>
    <row r="448" spans="1:1">
      <c r="A448" s="78" t="str">
        <f t="shared" si="12"/>
        <v/>
      </c>
    </row>
    <row r="449" spans="1:1">
      <c r="A449" s="78" t="str">
        <f t="shared" si="12"/>
        <v/>
      </c>
    </row>
    <row r="450" spans="1:1">
      <c r="A450" s="78" t="str">
        <f t="shared" si="12"/>
        <v/>
      </c>
    </row>
    <row r="451" spans="1:1">
      <c r="A451" s="78" t="str">
        <f t="shared" si="12"/>
        <v/>
      </c>
    </row>
    <row r="452" spans="1:1">
      <c r="A452" s="78" t="str">
        <f t="shared" si="12"/>
        <v/>
      </c>
    </row>
    <row r="453" spans="1:1">
      <c r="A453" s="78" t="str">
        <f t="shared" si="12"/>
        <v/>
      </c>
    </row>
    <row r="454" spans="1:1">
      <c r="A454" s="78" t="str">
        <f t="shared" si="12"/>
        <v/>
      </c>
    </row>
    <row r="455" spans="1:1">
      <c r="A455" s="78" t="str">
        <f t="shared" si="12"/>
        <v/>
      </c>
    </row>
    <row r="456" spans="1:1">
      <c r="A456" s="78" t="str">
        <f t="shared" si="12"/>
        <v/>
      </c>
    </row>
    <row r="457" spans="1:1">
      <c r="A457" s="78" t="str">
        <f t="shared" si="12"/>
        <v/>
      </c>
    </row>
    <row r="458" spans="1:1">
      <c r="A458" s="78" t="str">
        <f t="shared" ref="A458:A500" si="13">RIGHT(B458,5)</f>
        <v/>
      </c>
    </row>
    <row r="459" spans="1:1">
      <c r="A459" s="78" t="str">
        <f t="shared" si="13"/>
        <v/>
      </c>
    </row>
    <row r="460" spans="1:1">
      <c r="A460" s="78" t="str">
        <f t="shared" si="13"/>
        <v/>
      </c>
    </row>
    <row r="461" spans="1:1">
      <c r="A461" s="78" t="str">
        <f t="shared" si="13"/>
        <v/>
      </c>
    </row>
    <row r="462" spans="1:1">
      <c r="A462" s="78" t="str">
        <f t="shared" si="13"/>
        <v/>
      </c>
    </row>
    <row r="463" spans="1:1">
      <c r="A463" s="78" t="str">
        <f t="shared" si="13"/>
        <v/>
      </c>
    </row>
    <row r="464" spans="1:1">
      <c r="A464" s="78" t="str">
        <f t="shared" si="13"/>
        <v/>
      </c>
    </row>
    <row r="465" spans="1:1">
      <c r="A465" s="78" t="str">
        <f t="shared" si="13"/>
        <v/>
      </c>
    </row>
    <row r="466" spans="1:1">
      <c r="A466" s="78" t="str">
        <f t="shared" si="13"/>
        <v/>
      </c>
    </row>
    <row r="467" spans="1:1">
      <c r="A467" s="78" t="str">
        <f t="shared" si="13"/>
        <v/>
      </c>
    </row>
    <row r="468" spans="1:1">
      <c r="A468" s="78" t="str">
        <f t="shared" si="13"/>
        <v/>
      </c>
    </row>
    <row r="469" spans="1:1">
      <c r="A469" s="78" t="str">
        <f t="shared" si="13"/>
        <v/>
      </c>
    </row>
    <row r="470" spans="1:1">
      <c r="A470" s="78" t="str">
        <f t="shared" si="13"/>
        <v/>
      </c>
    </row>
    <row r="471" spans="1:1">
      <c r="A471" s="78" t="str">
        <f t="shared" si="13"/>
        <v/>
      </c>
    </row>
    <row r="472" spans="1:1">
      <c r="A472" s="78" t="str">
        <f t="shared" si="13"/>
        <v/>
      </c>
    </row>
    <row r="473" spans="1:1">
      <c r="A473" s="78" t="str">
        <f t="shared" si="13"/>
        <v/>
      </c>
    </row>
    <row r="474" spans="1:1">
      <c r="A474" s="78" t="str">
        <f t="shared" si="13"/>
        <v/>
      </c>
    </row>
    <row r="475" spans="1:1">
      <c r="A475" s="78" t="str">
        <f t="shared" si="13"/>
        <v/>
      </c>
    </row>
    <row r="476" spans="1:1">
      <c r="A476" s="78" t="str">
        <f t="shared" si="13"/>
        <v/>
      </c>
    </row>
    <row r="477" spans="1:1">
      <c r="A477" s="78" t="str">
        <f t="shared" si="13"/>
        <v/>
      </c>
    </row>
    <row r="478" spans="1:1">
      <c r="A478" s="78" t="str">
        <f t="shared" si="13"/>
        <v/>
      </c>
    </row>
    <row r="479" spans="1:1">
      <c r="A479" s="78" t="str">
        <f t="shared" si="13"/>
        <v/>
      </c>
    </row>
    <row r="480" spans="1:1">
      <c r="A480" s="78" t="str">
        <f t="shared" si="13"/>
        <v/>
      </c>
    </row>
    <row r="481" spans="1:1">
      <c r="A481" s="78" t="str">
        <f t="shared" si="13"/>
        <v/>
      </c>
    </row>
    <row r="482" spans="1:1">
      <c r="A482" s="78" t="str">
        <f t="shared" si="13"/>
        <v/>
      </c>
    </row>
    <row r="483" spans="1:1">
      <c r="A483" s="78" t="str">
        <f t="shared" si="13"/>
        <v/>
      </c>
    </row>
    <row r="484" spans="1:1">
      <c r="A484" s="78" t="str">
        <f t="shared" si="13"/>
        <v/>
      </c>
    </row>
    <row r="485" spans="1:1">
      <c r="A485" s="78" t="str">
        <f t="shared" si="13"/>
        <v/>
      </c>
    </row>
    <row r="486" spans="1:1">
      <c r="A486" s="78" t="str">
        <f t="shared" si="13"/>
        <v/>
      </c>
    </row>
    <row r="487" spans="1:1">
      <c r="A487" s="78" t="str">
        <f t="shared" si="13"/>
        <v/>
      </c>
    </row>
    <row r="488" spans="1:1">
      <c r="A488" s="78" t="str">
        <f t="shared" si="13"/>
        <v/>
      </c>
    </row>
    <row r="489" spans="1:1">
      <c r="A489" s="78" t="str">
        <f t="shared" si="13"/>
        <v/>
      </c>
    </row>
    <row r="490" spans="1:1">
      <c r="A490" s="78" t="str">
        <f t="shared" si="13"/>
        <v/>
      </c>
    </row>
    <row r="491" spans="1:1">
      <c r="A491" s="78" t="str">
        <f t="shared" si="13"/>
        <v/>
      </c>
    </row>
    <row r="492" spans="1:1">
      <c r="A492" s="78" t="str">
        <f t="shared" si="13"/>
        <v/>
      </c>
    </row>
    <row r="493" spans="1:1">
      <c r="A493" s="78" t="str">
        <f t="shared" si="13"/>
        <v/>
      </c>
    </row>
    <row r="494" spans="1:1">
      <c r="A494" s="78" t="str">
        <f t="shared" si="13"/>
        <v/>
      </c>
    </row>
    <row r="495" spans="1:1">
      <c r="A495" s="78" t="str">
        <f t="shared" si="13"/>
        <v/>
      </c>
    </row>
    <row r="496" spans="1:1">
      <c r="A496" s="78" t="str">
        <f t="shared" si="13"/>
        <v/>
      </c>
    </row>
    <row r="497" spans="1:1">
      <c r="A497" s="78" t="str">
        <f t="shared" si="13"/>
        <v/>
      </c>
    </row>
    <row r="498" spans="1:1">
      <c r="A498" s="78" t="str">
        <f t="shared" si="13"/>
        <v/>
      </c>
    </row>
    <row r="499" spans="1:1">
      <c r="A499" s="78" t="str">
        <f t="shared" si="13"/>
        <v/>
      </c>
    </row>
    <row r="500" spans="1:1">
      <c r="A500" s="78" t="str">
        <f t="shared" si="13"/>
        <v/>
      </c>
    </row>
  </sheetData>
  <conditionalFormatting sqref="C7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8882-524C-A049-915A-D66A23E3A60C}">
  <dimension ref="A1:B29"/>
  <sheetViews>
    <sheetView workbookViewId="0">
      <selection activeCell="B5" sqref="B5"/>
    </sheetView>
  </sheetViews>
  <sheetFormatPr defaultColWidth="11" defaultRowHeight="15.75"/>
  <cols>
    <col min="1" max="1" width="18.3125" bestFit="1" customWidth="1"/>
  </cols>
  <sheetData>
    <row r="1" spans="1:2">
      <c r="A1" s="51" t="s">
        <v>83</v>
      </c>
      <c r="B1" s="144" t="s">
        <v>365</v>
      </c>
    </row>
    <row r="2" spans="1:2">
      <c r="A2" t="s">
        <v>84</v>
      </c>
    </row>
    <row r="3" spans="1:2">
      <c r="A3" t="s">
        <v>85</v>
      </c>
      <c r="B3">
        <v>8500</v>
      </c>
    </row>
    <row r="4" spans="1:2">
      <c r="A4" t="s">
        <v>86</v>
      </c>
    </row>
    <row r="5" spans="1:2">
      <c r="A5" t="s">
        <v>399</v>
      </c>
      <c r="B5">
        <v>50000</v>
      </c>
    </row>
    <row r="6" spans="1:2">
      <c r="A6" t="s">
        <v>400</v>
      </c>
      <c r="B6">
        <v>41000</v>
      </c>
    </row>
    <row r="7" spans="1:2">
      <c r="A7" t="s">
        <v>87</v>
      </c>
    </row>
    <row r="8" spans="1:2">
      <c r="A8" t="s">
        <v>415</v>
      </c>
      <c r="B8">
        <v>6000</v>
      </c>
    </row>
    <row r="9" spans="1:2">
      <c r="A9" t="s">
        <v>417</v>
      </c>
      <c r="B9">
        <v>60000</v>
      </c>
    </row>
    <row r="10" spans="1:2">
      <c r="A10" t="s">
        <v>88</v>
      </c>
    </row>
    <row r="11" spans="1:2">
      <c r="A11" t="s">
        <v>89</v>
      </c>
      <c r="B11">
        <v>4000</v>
      </c>
    </row>
    <row r="12" spans="1:2">
      <c r="A12" t="s">
        <v>416</v>
      </c>
      <c r="B12">
        <v>6000</v>
      </c>
    </row>
    <row r="13" spans="1:2">
      <c r="A13" t="s">
        <v>90</v>
      </c>
    </row>
    <row r="14" spans="1:2">
      <c r="A14" t="s">
        <v>428</v>
      </c>
      <c r="B14">
        <v>5200</v>
      </c>
    </row>
    <row r="15" spans="1:2">
      <c r="A15" t="s">
        <v>91</v>
      </c>
    </row>
    <row r="16" spans="1:2">
      <c r="A16" t="s">
        <v>92</v>
      </c>
    </row>
    <row r="17" spans="1:2">
      <c r="A17" t="s">
        <v>93</v>
      </c>
    </row>
    <row r="18" spans="1:2">
      <c r="A18" t="s">
        <v>94</v>
      </c>
      <c r="B18">
        <v>4500</v>
      </c>
    </row>
    <row r="19" spans="1:2">
      <c r="A19" t="s">
        <v>95</v>
      </c>
    </row>
    <row r="20" spans="1:2">
      <c r="A20" t="s">
        <v>96</v>
      </c>
    </row>
    <row r="21" spans="1:2">
      <c r="A21" t="s">
        <v>398</v>
      </c>
      <c r="B21">
        <v>1400</v>
      </c>
    </row>
    <row r="22" spans="1:2">
      <c r="A22" t="s">
        <v>97</v>
      </c>
    </row>
    <row r="23" spans="1:2">
      <c r="A23" t="s">
        <v>98</v>
      </c>
      <c r="B23">
        <v>1396</v>
      </c>
    </row>
    <row r="24" spans="1:2">
      <c r="A24" t="s">
        <v>99</v>
      </c>
      <c r="B24">
        <v>37000</v>
      </c>
    </row>
    <row r="25" spans="1:2">
      <c r="A25" t="s">
        <v>100</v>
      </c>
      <c r="B25">
        <v>12000</v>
      </c>
    </row>
    <row r="26" spans="1:2">
      <c r="A26" t="s">
        <v>101</v>
      </c>
      <c r="B26">
        <v>285</v>
      </c>
    </row>
    <row r="27" spans="1:2">
      <c r="A27" t="s">
        <v>102</v>
      </c>
    </row>
    <row r="28" spans="1:2">
      <c r="A28" t="s">
        <v>103</v>
      </c>
      <c r="B28">
        <v>17000</v>
      </c>
    </row>
    <row r="29" spans="1:2">
      <c r="A29" t="s">
        <v>104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F668-B3D5-494F-8890-FBC81DB70F3F}">
  <dimension ref="A1:A5"/>
  <sheetViews>
    <sheetView zoomScale="125" workbookViewId="0">
      <selection activeCell="A5" sqref="A5"/>
    </sheetView>
  </sheetViews>
  <sheetFormatPr defaultColWidth="11" defaultRowHeight="15.75"/>
  <cols>
    <col min="1" max="1" width="24" bestFit="1" customWidth="1"/>
  </cols>
  <sheetData>
    <row r="1" spans="1:1">
      <c r="A1" t="s">
        <v>392</v>
      </c>
    </row>
    <row r="2" spans="1:1">
      <c r="A2" t="s">
        <v>393</v>
      </c>
    </row>
    <row r="3" spans="1:1">
      <c r="A3" s="144" t="s">
        <v>394</v>
      </c>
    </row>
    <row r="4" spans="1:1">
      <c r="A4" t="s">
        <v>395</v>
      </c>
    </row>
    <row r="5" spans="1:1">
      <c r="A5" t="s">
        <v>396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C8150D-98E0-3540-9AF9-DBB99E217F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Product Orientation</vt:lpstr>
      <vt:lpstr>Environment Understanding</vt:lpstr>
      <vt:lpstr>Market Definition</vt:lpstr>
      <vt:lpstr>Patient Funnel</vt:lpstr>
      <vt:lpstr>Patient Journey Mapping</vt:lpstr>
      <vt:lpstr>Leverage Point</vt:lpstr>
      <vt:lpstr>KSH</vt:lpstr>
      <vt:lpstr>Contested Cat.</vt:lpstr>
      <vt:lpstr>Brand Wheel</vt:lpstr>
      <vt:lpstr>Segmentation</vt:lpstr>
      <vt:lpstr>SWOT</vt:lpstr>
      <vt:lpstr>Top Brand</vt:lpstr>
      <vt:lpstr>AWACS input</vt:lpstr>
      <vt:lpstr>Tools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Rushil Walavalkar</dc:creator>
  <cp:lastModifiedBy>Meenal Bhat</cp:lastModifiedBy>
  <dcterms:created xsi:type="dcterms:W3CDTF">2024-03-04T08:49:10Z</dcterms:created>
  <dcterms:modified xsi:type="dcterms:W3CDTF">2026-04-01T09:28:31Z</dcterms:modified>
</cp:coreProperties>
</file>